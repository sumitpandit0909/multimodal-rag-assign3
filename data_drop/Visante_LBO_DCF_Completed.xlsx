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xmlns:r="http://schemas.openxmlformats.org/officeDocument/2006/relationships" name="LDN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LBO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Public Comps" sheetId="5" state="visible" r:id="rId5"/>
    <sheet xmlns:r="http://schemas.openxmlformats.org/officeDocument/2006/relationships" name="Precedent Transactions" sheetId="6" state="visible" r:id="rId6"/>
  </sheets>
  <definedNames>
    <definedName name="Cash_Sweep">LBO!#REF!</definedName>
    <definedName name="Circularity">LBO!$G$21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"02/18/2025 22:56:54"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0.0%"/>
    <numFmt numFmtId="165" formatCode="&quot;£&quot;0.000&quot;m&quot;"/>
    <numFmt numFmtId="166" formatCode="0.000"/>
    <numFmt numFmtId="167" formatCode="mmm\ yy&quot;A&quot;"/>
    <numFmt numFmtId="168" formatCode="mmm\ yy&quot;F&quot;"/>
    <numFmt numFmtId="169" formatCode="mmm\ yy&quot;B&quot;"/>
    <numFmt numFmtId="170" formatCode="#,##0.0"/>
    <numFmt numFmtId="171" formatCode="0.0"/>
    <numFmt numFmtId="172" formatCode="0.0\x"/>
    <numFmt numFmtId="173" formatCode="_-* #,##0;\(#,##0\);_-* &quot;-&quot;_-;_-@_-"/>
    <numFmt numFmtId="174" formatCode="_-* #,##0.0;\(#,##0.0\);_-* &quot;-&quot;_-;_-@_-"/>
    <numFmt numFmtId="175" formatCode="&quot;Year &quot;General"/>
    <numFmt numFmtId="176" formatCode="_-* #,##0.00;\(#,##0.00\);_-* &quot;-&quot;_-;_-@_-"/>
    <numFmt numFmtId="177" formatCode="#,##0.0\x;\-#,##0.0\ "/>
    <numFmt numFmtId="178" formatCode="_-* #,##0.0_-;\-* #,##0.0_-;_-* &quot;-&quot;?_-;_-@_-"/>
    <numFmt numFmtId="179" formatCode="_-* #,##0.00_-;\-* #,##0.00_-;_-* &quot;-&quot;??_-;_-@_-"/>
    <numFmt numFmtId="180" formatCode="_-* #,##0.0;\(#,##0.0\);_-* &quot;-&quot;?_-;_-@_-"/>
    <numFmt numFmtId="181" formatCode="0.00\x"/>
  </numFmts>
  <fonts count="35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name val="Tahoma"/>
      <family val="2"/>
      <i val="1"/>
      <color theme="1"/>
      <sz val="11"/>
      <scheme val="minor"/>
    </font>
    <font>
      <name val="Tahoma"/>
      <family val="2"/>
      <sz val="11"/>
      <scheme val="minor"/>
    </font>
    <font>
      <name val="Tahoma"/>
      <family val="2"/>
      <color theme="4"/>
      <sz val="11"/>
      <scheme val="minor"/>
    </font>
    <font>
      <name val="Tahoma"/>
      <family val="2"/>
      <color theme="1"/>
      <sz val="11"/>
      <scheme val="minor"/>
    </font>
    <font>
      <name val="Aptos Narrow"/>
      <family val="2"/>
      <b val="1"/>
      <color theme="0"/>
      <sz val="9"/>
    </font>
    <font>
      <name val="Aptos Narrow"/>
      <family val="2"/>
      <color theme="1"/>
      <sz val="9"/>
    </font>
    <font>
      <name val="Aptos Narrow"/>
      <family val="2"/>
      <color theme="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1"/>
      <sz val="9"/>
      <u val="single"/>
    </font>
    <font>
      <name val="Aptos Narrow"/>
      <family val="2"/>
      <sz val="9"/>
    </font>
    <font>
      <name val="Aptos Narrow"/>
      <family val="2"/>
      <color theme="4"/>
      <sz val="9"/>
    </font>
    <font>
      <name val="Aptos Narrow"/>
      <family val="2"/>
      <color theme="8" tint="-0.249977111117893"/>
      <sz val="9"/>
    </font>
    <font>
      <name val="Aptos Narrow"/>
      <family val="2"/>
      <i val="1"/>
      <color theme="1"/>
      <sz val="9"/>
    </font>
    <font>
      <name val="Aptos Narrow"/>
      <family val="2"/>
      <b val="1"/>
      <i val="1"/>
      <color theme="1"/>
      <sz val="9"/>
    </font>
    <font>
      <name val="Aptos Narrow"/>
      <family val="2"/>
      <i val="1"/>
      <color theme="1"/>
      <sz val="9"/>
      <u val="single"/>
    </font>
    <font>
      <name val="Aptos Narrow"/>
      <family val="2"/>
      <i val="1"/>
      <color rgb="FFFF0000"/>
      <sz val="9"/>
    </font>
    <font>
      <name val="Aptos Narrow"/>
      <family val="2"/>
      <i val="1"/>
      <color theme="0"/>
      <sz val="9"/>
      <u val="single"/>
    </font>
    <font>
      <name val="Aptos Narrow"/>
      <family val="2"/>
      <b val="1"/>
      <i val="1"/>
      <color theme="0"/>
      <sz val="9"/>
    </font>
    <font>
      <name val="Aptos Narrow"/>
      <family val="2"/>
      <i val="1"/>
      <color theme="1"/>
      <sz val="8"/>
    </font>
    <font>
      <name val="Aptos Narrow"/>
      <family val="2"/>
      <i val="1"/>
      <color rgb="FFFF0000"/>
      <sz val="8"/>
    </font>
    <font>
      <name val="Aptos Narrow"/>
      <family val="2"/>
      <b val="1"/>
      <sz val="9"/>
      <u val="single"/>
    </font>
    <font>
      <name val="Aptos Narrow"/>
      <family val="2"/>
      <color theme="8" tint="0.3999755851924192"/>
      <sz val="9"/>
    </font>
    <font>
      <name val="Aptos Narrow"/>
      <family val="2"/>
      <color theme="4" tint="-0.499984740745262"/>
      <sz val="9"/>
    </font>
    <font>
      <name val="Aptos Narrow"/>
      <family val="2"/>
      <b val="1"/>
      <color theme="4" tint="-0.499984740745262"/>
      <sz val="9"/>
    </font>
    <font>
      <name val="Aptos Narrow"/>
      <family val="2"/>
      <i val="1"/>
      <color theme="4" tint="-0.499984740745262"/>
      <sz val="8"/>
    </font>
    <font>
      <name val="Tahoma"/>
      <family val="2"/>
      <color theme="10"/>
      <sz val="11"/>
      <u val="single"/>
      <scheme val="minor"/>
    </font>
    <font>
      <name val="Aptos Narrow"/>
      <family val="2"/>
      <b val="1"/>
      <color theme="8" tint="-0.249977111117893"/>
      <sz val="9"/>
    </font>
    <font>
      <name val="Aptos Narrow"/>
      <family val="2"/>
      <b val="1"/>
      <sz val="9"/>
    </font>
    <font>
      <name val="Aptos Narrow"/>
      <family val="2"/>
      <color theme="10"/>
      <sz val="9"/>
      <u val="single"/>
    </font>
    <font>
      <name val="Aptos Narrow"/>
      <family val="2"/>
      <color rgb="FFFF0000"/>
      <sz val="9"/>
    </font>
    <font>
      <name val="Aptos Narrow"/>
      <family val="2"/>
      <b val="1"/>
      <color theme="0"/>
      <sz val="11"/>
      <u val="single"/>
    </font>
    <font>
      <name val="Aptos Narrow"/>
      <family val="2"/>
      <b val="1"/>
      <color theme="0"/>
      <sz val="11"/>
    </font>
    <font>
      <name val="Aptos Narrow"/>
      <family val="2"/>
      <color theme="0"/>
      <sz val="9"/>
      <u val="single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5" fillId="0" borderId="0"/>
    <xf numFmtId="9" fontId="5" fillId="0" borderId="0"/>
    <xf numFmtId="0" fontId="27" fillId="0" borderId="0"/>
  </cellStyleXfs>
  <cellXfs count="322">
    <xf numFmtId="0" fontId="0" fillId="0" borderId="0" pivotButton="0" quotePrefix="0" xfId="0"/>
    <xf numFmtId="0" fontId="1" fillId="2" borderId="1" pivotButton="0" quotePrefix="0" xfId="0"/>
    <xf numFmtId="0" fontId="2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3" fontId="1" fillId="0" borderId="2" pivotButton="0" quotePrefix="0" xfId="0"/>
    <xf numFmtId="3" fontId="0" fillId="0" borderId="0" pivotButton="0" quotePrefix="0" xfId="0"/>
    <xf numFmtId="3" fontId="3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167" fontId="2" fillId="2" borderId="1" applyAlignment="1" pivotButton="0" quotePrefix="0" xfId="0">
      <alignment horizontal="right"/>
    </xf>
    <xf numFmtId="168" fontId="2" fillId="2" borderId="1" applyAlignment="1" pivotButton="0" quotePrefix="0" xfId="0">
      <alignment horizontal="right"/>
    </xf>
    <xf numFmtId="169" fontId="2" fillId="2" borderId="1" applyAlignment="1" pivotButton="0" quotePrefix="0" xfId="0">
      <alignment horizontal="right"/>
    </xf>
    <xf numFmtId="0" fontId="6" fillId="3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7" fillId="0" borderId="0" pivotButton="0" quotePrefix="0" xfId="1"/>
    <xf numFmtId="0" fontId="11" fillId="0" borderId="0" pivotButton="0" quotePrefix="0" xfId="0"/>
    <xf numFmtId="0" fontId="12" fillId="0" borderId="0" pivotButton="0" quotePrefix="0" xfId="0"/>
    <xf numFmtId="164" fontId="13" fillId="0" borderId="0" pivotButton="0" quotePrefix="0" xfId="1"/>
    <xf numFmtId="0" fontId="13" fillId="0" borderId="0" pivotButton="0" quotePrefix="0" xfId="0"/>
    <xf numFmtId="0" fontId="16" fillId="0" borderId="0" applyAlignment="1" pivotButton="0" quotePrefix="0" xfId="0">
      <alignment horizontal="right"/>
    </xf>
    <xf numFmtId="164" fontId="7" fillId="0" borderId="0" pivotButton="0" quotePrefix="0" xfId="0"/>
    <xf numFmtId="170" fontId="13" fillId="0" borderId="0" pivotButton="0" quotePrefix="0" xfId="0"/>
    <xf numFmtId="171" fontId="13" fillId="0" borderId="0" pivotButton="0" quotePrefix="0" xfId="0"/>
    <xf numFmtId="171" fontId="7" fillId="0" borderId="0" pivotButton="0" quotePrefix="0" xfId="0"/>
    <xf numFmtId="172" fontId="7" fillId="0" borderId="0" pivotButton="0" quotePrefix="0" xfId="0"/>
    <xf numFmtId="170" fontId="7" fillId="0" borderId="0" pivotButton="0" quotePrefix="0" xfId="0"/>
    <xf numFmtId="0" fontId="17" fillId="0" borderId="0" pivotButton="0" quotePrefix="0" xfId="0"/>
    <xf numFmtId="170" fontId="9" fillId="0" borderId="0" pivotButton="0" quotePrefix="0" xfId="0"/>
    <xf numFmtId="0" fontId="9" fillId="0" borderId="3" pivotButton="0" quotePrefix="0" xfId="0"/>
    <xf numFmtId="3" fontId="13" fillId="0" borderId="0" pivotButton="0" quotePrefix="0" xfId="0"/>
    <xf numFmtId="173" fontId="7" fillId="0" borderId="0" pivotButton="0" quotePrefix="0" xfId="0"/>
    <xf numFmtId="0" fontId="6" fillId="3" borderId="3" applyAlignment="1" pivotButton="0" quotePrefix="0" xfId="0">
      <alignment vertical="center" wrapText="1"/>
    </xf>
    <xf numFmtId="0" fontId="18" fillId="3" borderId="3" applyAlignment="1" pivotButton="0" quotePrefix="0" xfId="0">
      <alignment horizontal="right" vertical="center" wrapText="1"/>
    </xf>
    <xf numFmtId="0" fontId="15" fillId="0" borderId="3" pivotButton="0" quotePrefix="0" xfId="0"/>
    <xf numFmtId="3" fontId="15" fillId="0" borderId="3" pivotButton="0" quotePrefix="0" xfId="0"/>
    <xf numFmtId="164" fontId="15" fillId="0" borderId="3" pivotButton="0" quotePrefix="0" xfId="0"/>
    <xf numFmtId="173" fontId="15" fillId="0" borderId="3" pivotButton="0" quotePrefix="0" xfId="0"/>
    <xf numFmtId="0" fontId="6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centerContinuous"/>
    </xf>
    <xf numFmtId="0" fontId="19" fillId="0" borderId="0" applyAlignment="1" pivotButton="0" quotePrefix="0" xfId="0">
      <alignment horizontal="right" vertical="center" wrapText="1"/>
    </xf>
    <xf numFmtId="0" fontId="6" fillId="3" borderId="2" applyAlignment="1" pivotButton="0" quotePrefix="0" xfId="0">
      <alignment vertical="center" wrapText="1"/>
    </xf>
    <xf numFmtId="0" fontId="19" fillId="0" borderId="3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right"/>
    </xf>
    <xf numFmtId="0" fontId="8" fillId="3" borderId="0" pivotButton="0" quotePrefix="0" xfId="0"/>
    <xf numFmtId="3" fontId="7" fillId="0" borderId="0" pivotButton="0" quotePrefix="0" xfId="0"/>
    <xf numFmtId="3" fontId="9" fillId="0" borderId="0" pivotButton="0" quotePrefix="0" xfId="0"/>
    <xf numFmtId="164" fontId="9" fillId="0" borderId="0" pivotButton="0" quotePrefix="0" xfId="0"/>
    <xf numFmtId="9" fontId="7" fillId="0" borderId="0" pivotButton="0" quotePrefix="0" xfId="1"/>
    <xf numFmtId="173" fontId="13" fillId="0" borderId="0" pivotButton="0" quotePrefix="0" xfId="0"/>
    <xf numFmtId="9" fontId="13" fillId="0" borderId="0" pivotButton="0" quotePrefix="0" xfId="1"/>
    <xf numFmtId="0" fontId="7" fillId="0" borderId="0" applyAlignment="1" pivotButton="0" quotePrefix="0" xfId="0">
      <alignment horizontal="left" indent="1"/>
    </xf>
    <xf numFmtId="174" fontId="7" fillId="0" borderId="0" pivotButton="0" quotePrefix="0" xfId="0"/>
    <xf numFmtId="0" fontId="14" fillId="0" borderId="3" applyAlignment="1" pivotButton="0" quotePrefix="0" xfId="0">
      <alignment horizontal="right" wrapText="1"/>
    </xf>
    <xf numFmtId="0" fontId="14" fillId="0" borderId="3" applyAlignment="1" pivotButton="0" quotePrefix="0" xfId="0">
      <alignment horizontal="right" vertical="center"/>
    </xf>
    <xf numFmtId="0" fontId="18" fillId="3" borderId="0" pivotButton="0" quotePrefix="0" xfId="0"/>
    <xf numFmtId="0" fontId="14" fillId="0" borderId="4" applyAlignment="1" pivotButton="0" quotePrefix="0" xfId="0">
      <alignment horizontal="right" vertical="center"/>
    </xf>
    <xf numFmtId="0" fontId="14" fillId="0" borderId="5" applyAlignment="1" pivotButton="0" quotePrefix="0" xfId="0">
      <alignment horizontal="right"/>
    </xf>
    <xf numFmtId="164" fontId="13" fillId="0" borderId="5" pivotButton="0" quotePrefix="0" xfId="1"/>
    <xf numFmtId="164" fontId="7" fillId="0" borderId="5" pivotButton="0" quotePrefix="0" xfId="0"/>
    <xf numFmtId="0" fontId="7" fillId="0" borderId="5" pivotButton="0" quotePrefix="0" xfId="0"/>
    <xf numFmtId="164" fontId="15" fillId="0" borderId="4" pivotButton="0" quotePrefix="0" xfId="0"/>
    <xf numFmtId="175" fontId="6" fillId="3" borderId="3" pivotButton="0" quotePrefix="0" xfId="0"/>
    <xf numFmtId="0" fontId="6" fillId="0" borderId="0" pivotButton="0" quotePrefix="0" xfId="0"/>
    <xf numFmtId="175" fontId="6" fillId="0" borderId="0" pivotButton="0" quotePrefix="0" xfId="0"/>
    <xf numFmtId="0" fontId="20" fillId="0" borderId="0" pivotButton="0" quotePrefix="0" xfId="0"/>
    <xf numFmtId="164" fontId="20" fillId="0" borderId="0" pivotButton="0" quotePrefix="0" xfId="1"/>
    <xf numFmtId="0" fontId="20" fillId="0" borderId="0" applyAlignment="1" pivotButton="0" quotePrefix="0" xfId="0">
      <alignment horizontal="left" indent="1"/>
    </xf>
    <xf numFmtId="0" fontId="6" fillId="3" borderId="2" pivotButton="0" quotePrefix="0" xfId="0"/>
    <xf numFmtId="9" fontId="20" fillId="0" borderId="0" pivotButton="0" quotePrefix="0" xfId="1"/>
    <xf numFmtId="0" fontId="21" fillId="0" borderId="0" pivotButton="0" quotePrefix="0" xfId="0"/>
    <xf numFmtId="174" fontId="7" fillId="0" borderId="2" pivotButton="0" quotePrefix="0" xfId="0"/>
    <xf numFmtId="0" fontId="9" fillId="0" borderId="1" pivotButton="0" quotePrefix="0" xfId="0"/>
    <xf numFmtId="174" fontId="9" fillId="0" borderId="1" pivotButton="0" quotePrefix="0" xfId="0"/>
    <xf numFmtId="174" fontId="9" fillId="0" borderId="3" pivotButton="0" quotePrefix="0" xfId="0"/>
    <xf numFmtId="174" fontId="9" fillId="0" borderId="0" pivotButton="0" quotePrefix="0" xfId="0"/>
    <xf numFmtId="0" fontId="7" fillId="0" borderId="2" applyAlignment="1" pivotButton="0" quotePrefix="0" xfId="0">
      <alignment horizontal="left" indent="1"/>
    </xf>
    <xf numFmtId="174" fontId="15" fillId="0" borderId="3" pivotButton="0" quotePrefix="0" xfId="0"/>
    <xf numFmtId="174" fontId="13" fillId="0" borderId="0" pivotButton="0" quotePrefix="0" xfId="0"/>
    <xf numFmtId="174" fontId="13" fillId="0" borderId="0" pivotButton="0" quotePrefix="0" xfId="1"/>
    <xf numFmtId="174" fontId="7" fillId="0" borderId="0" pivotButton="0" quotePrefix="0" xfId="1"/>
    <xf numFmtId="0" fontId="2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right"/>
    </xf>
    <xf numFmtId="173" fontId="9" fillId="0" borderId="3" pivotButton="0" quotePrefix="0" xfId="0"/>
    <xf numFmtId="173" fontId="9" fillId="0" borderId="0" pivotButton="0" quotePrefix="0" xfId="0"/>
    <xf numFmtId="169" fontId="19" fillId="3" borderId="0" applyAlignment="1" pivotButton="0" quotePrefix="0" xfId="0">
      <alignment horizontal="right"/>
    </xf>
    <xf numFmtId="168" fontId="19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0" fontId="9" fillId="0" borderId="2" pivotButton="0" quotePrefix="0" xfId="0"/>
    <xf numFmtId="0" fontId="7" fillId="0" borderId="0" applyAlignment="1" pivotButton="0" quotePrefix="0" xfId="0">
      <alignment horizontal="center" vertical="center"/>
    </xf>
    <xf numFmtId="2" fontId="7" fillId="0" borderId="0" pivotButton="0" quotePrefix="0" xfId="0"/>
    <xf numFmtId="0" fontId="9" fillId="0" borderId="1" applyAlignment="1" pivotButton="0" quotePrefix="0" xfId="0">
      <alignment horizontal="left" indent="1"/>
    </xf>
    <xf numFmtId="174" fontId="11" fillId="0" borderId="0" pivotButton="0" quotePrefix="0" xfId="0"/>
    <xf numFmtId="171" fontId="9" fillId="0" borderId="1" pivotButton="0" quotePrefix="0" xfId="0"/>
    <xf numFmtId="171" fontId="9" fillId="0" borderId="2" pivotButton="0" quotePrefix="0" xfId="0"/>
    <xf numFmtId="0" fontId="9" fillId="4" borderId="2" pivotButton="0" quotePrefix="0" xfId="0"/>
    <xf numFmtId="164" fontId="9" fillId="4" borderId="2" pivotButton="0" quotePrefix="0" xfId="1"/>
    <xf numFmtId="0" fontId="9" fillId="4" borderId="1" pivotButton="0" quotePrefix="0" xfId="0"/>
    <xf numFmtId="172" fontId="9" fillId="4" borderId="1" pivotButton="0" quotePrefix="0" xfId="1"/>
    <xf numFmtId="0" fontId="9" fillId="0" borderId="6" pivotButton="0" quotePrefix="0" xfId="0"/>
    <xf numFmtId="0" fontId="9" fillId="0" borderId="7" applyAlignment="1" pivotButton="0" quotePrefix="0" xfId="0">
      <alignment horizontal="right"/>
    </xf>
    <xf numFmtId="171" fontId="9" fillId="0" borderId="0" pivotButton="0" quotePrefix="0" xfId="0"/>
    <xf numFmtId="0" fontId="17" fillId="0" borderId="0" applyAlignment="1" pivotButton="0" quotePrefix="0" xfId="0">
      <alignment horizontal="left" indent="1"/>
    </xf>
    <xf numFmtId="0" fontId="24" fillId="0" borderId="0" pivotButton="0" quotePrefix="0" xfId="0"/>
    <xf numFmtId="0" fontId="25" fillId="3" borderId="0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0" fontId="24" fillId="3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/>
    </xf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173" fontId="13" fillId="0" borderId="0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73" fontId="7" fillId="0" borderId="0" applyAlignment="1" pivotButton="0" quotePrefix="0" xfId="0">
      <alignment horizontal="center" vertical="center"/>
    </xf>
    <xf numFmtId="177" fontId="7" fillId="0" borderId="0" applyAlignment="1" pivotButton="0" quotePrefix="0" xfId="0">
      <alignment horizontal="center" vertical="center"/>
    </xf>
    <xf numFmtId="176" fontId="13" fillId="0" borderId="0" applyAlignment="1" pivotButton="0" quotePrefix="0" xfId="0">
      <alignment vertical="center"/>
    </xf>
    <xf numFmtId="0" fontId="15" fillId="0" borderId="0" pivotButton="0" quotePrefix="0" xfId="0"/>
    <xf numFmtId="0" fontId="14" fillId="0" borderId="0" pivotButton="0" quotePrefix="0" xfId="0"/>
    <xf numFmtId="14" fontId="7" fillId="0" borderId="0" pivotButton="0" quotePrefix="0" xfId="0"/>
    <xf numFmtId="169" fontId="19" fillId="3" borderId="9" applyAlignment="1" pivotButton="0" quotePrefix="0" xfId="0">
      <alignment horizontal="right"/>
    </xf>
    <xf numFmtId="0" fontId="7" fillId="0" borderId="9" pivotButton="0" quotePrefix="0" xfId="0"/>
    <xf numFmtId="174" fontId="9" fillId="0" borderId="9" pivotButton="0" quotePrefix="0" xfId="0"/>
    <xf numFmtId="9" fontId="20" fillId="0" borderId="9" pivotButton="0" quotePrefix="0" xfId="1"/>
    <xf numFmtId="164" fontId="20" fillId="0" borderId="10" pivotButton="0" quotePrefix="0" xfId="1"/>
    <xf numFmtId="174" fontId="7" fillId="0" borderId="9" pivotButton="0" quotePrefix="0" xfId="0"/>
    <xf numFmtId="174" fontId="9" fillId="0" borderId="8" pivotButton="0" quotePrefix="0" xfId="0"/>
    <xf numFmtId="174" fontId="28" fillId="0" borderId="0" pivotButton="0" quotePrefix="0" xfId="0"/>
    <xf numFmtId="169" fontId="19" fillId="3" borderId="11" applyAlignment="1" pivotButton="0" quotePrefix="0" xfId="0">
      <alignment horizontal="right"/>
    </xf>
    <xf numFmtId="0" fontId="7" fillId="0" borderId="11" pivotButton="0" quotePrefix="0" xfId="0"/>
    <xf numFmtId="171" fontId="7" fillId="0" borderId="11" pivotButton="0" quotePrefix="0" xfId="0"/>
    <xf numFmtId="174" fontId="7" fillId="0" borderId="11" pivotButton="0" quotePrefix="0" xfId="0"/>
    <xf numFmtId="174" fontId="7" fillId="0" borderId="13" pivotButton="0" quotePrefix="0" xfId="0"/>
    <xf numFmtId="174" fontId="9" fillId="0" borderId="12" pivotButton="0" quotePrefix="0" xfId="0"/>
    <xf numFmtId="173" fontId="13" fillId="0" borderId="11" pivotButton="0" quotePrefix="0" xfId="0"/>
    <xf numFmtId="0" fontId="9" fillId="0" borderId="12" pivotButton="0" quotePrefix="0" xfId="0"/>
    <xf numFmtId="0" fontId="9" fillId="0" borderId="13" pivotButton="0" quotePrefix="0" xfId="0"/>
    <xf numFmtId="0" fontId="9" fillId="4" borderId="13" pivotButton="0" quotePrefix="0" xfId="0"/>
    <xf numFmtId="0" fontId="9" fillId="4" borderId="12" pivotButton="0" quotePrefix="0" xfId="0"/>
    <xf numFmtId="0" fontId="9" fillId="0" borderId="11" pivotButton="0" quotePrefix="0" xfId="0"/>
    <xf numFmtId="0" fontId="7" fillId="0" borderId="13" pivotButton="0" quotePrefix="0" xfId="0"/>
    <xf numFmtId="0" fontId="7" fillId="0" borderId="12" pivotButton="0" quotePrefix="0" xfId="0"/>
    <xf numFmtId="174" fontId="29" fillId="0" borderId="0" pivotButton="0" quotePrefix="0" xfId="0"/>
    <xf numFmtId="171" fontId="7" fillId="0" borderId="2" pivotButton="0" quotePrefix="0" xfId="0"/>
    <xf numFmtId="164" fontId="15" fillId="0" borderId="0" pivotButton="0" quotePrefix="0" xfId="1"/>
    <xf numFmtId="178" fontId="7" fillId="0" borderId="0" pivotButton="0" quotePrefix="0" xfId="0"/>
    <xf numFmtId="179" fontId="7" fillId="0" borderId="0" pivotButton="0" quotePrefix="0" xfId="0"/>
    <xf numFmtId="173" fontId="7" fillId="0" borderId="0" applyAlignment="1" pivotButton="0" quotePrefix="0" xfId="0">
      <alignment horizontal="left" indent="1"/>
    </xf>
    <xf numFmtId="0" fontId="10" fillId="0" borderId="0" applyAlignment="1" pivotButton="0" quotePrefix="0" xfId="0">
      <alignment horizontal="left" indent="1"/>
    </xf>
    <xf numFmtId="169" fontId="19" fillId="0" borderId="0" applyAlignment="1" pivotButton="0" quotePrefix="0" xfId="0">
      <alignment horizontal="right"/>
    </xf>
    <xf numFmtId="168" fontId="1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68" fontId="19" fillId="3" borderId="11" applyAlignment="1" pivotButton="0" quotePrefix="0" xfId="0">
      <alignment horizontal="right"/>
    </xf>
    <xf numFmtId="171" fontId="9" fillId="0" borderId="11" pivotButton="0" quotePrefix="0" xfId="0"/>
    <xf numFmtId="171" fontId="9" fillId="0" borderId="12" pivotButton="0" quotePrefix="0" xfId="0"/>
    <xf numFmtId="0" fontId="23" fillId="0" borderId="11" pivotButton="0" quotePrefix="0" xfId="0"/>
    <xf numFmtId="2" fontId="7" fillId="0" borderId="11" pivotButton="0" quotePrefix="0" xfId="0"/>
    <xf numFmtId="180" fontId="9" fillId="0" borderId="11" pivotButton="0" quotePrefix="0" xfId="0"/>
    <xf numFmtId="0" fontId="15" fillId="0" borderId="13" pivotButton="0" quotePrefix="0" xfId="0"/>
    <xf numFmtId="0" fontId="30" fillId="0" borderId="0" pivotButton="0" quotePrefix="0" xfId="2"/>
    <xf numFmtId="9" fontId="7" fillId="0" borderId="0" pivotButton="0" quotePrefix="0" xfId="0"/>
    <xf numFmtId="0" fontId="31" fillId="0" borderId="0" pivotButton="0" quotePrefix="0" xfId="0"/>
    <xf numFmtId="2" fontId="7" fillId="0" borderId="0" pivotButton="0" quotePrefix="0" xfId="1"/>
    <xf numFmtId="0" fontId="29" fillId="0" borderId="3" pivotButton="0" quotePrefix="0" xfId="0"/>
    <xf numFmtId="164" fontId="9" fillId="0" borderId="3" pivotButton="0" quotePrefix="0" xfId="1"/>
    <xf numFmtId="173" fontId="13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wrapText="1"/>
    </xf>
    <xf numFmtId="177" fontId="9" fillId="0" borderId="2" applyAlignment="1" pivotButton="0" quotePrefix="0" xfId="0">
      <alignment horizontal="center" vertical="center"/>
    </xf>
    <xf numFmtId="2" fontId="15" fillId="0" borderId="0" pivotButton="0" quotePrefix="0" xfId="0"/>
    <xf numFmtId="164" fontId="15" fillId="0" borderId="3" pivotButton="0" quotePrefix="0" xfId="1"/>
    <xf numFmtId="0" fontId="9" fillId="0" borderId="2" applyAlignment="1" pivotButton="0" quotePrefix="0" xfId="0">
      <alignment horizontal="left" indent="1"/>
    </xf>
    <xf numFmtId="0" fontId="9" fillId="0" borderId="0" applyAlignment="1" pivotButton="0" quotePrefix="0" xfId="0">
      <alignment horizontal="left" indent="1"/>
    </xf>
    <xf numFmtId="177" fontId="9" fillId="0" borderId="0" applyAlignment="1" pivotButton="0" quotePrefix="0" xfId="0">
      <alignment horizontal="center"/>
    </xf>
    <xf numFmtId="177" fontId="9" fillId="0" borderId="1" applyAlignment="1" pivotButton="0" quotePrefix="0" xfId="0">
      <alignment horizontal="center"/>
    </xf>
    <xf numFmtId="0" fontId="32" fillId="3" borderId="0" pivotButton="0" quotePrefix="0" xfId="0"/>
    <xf numFmtId="0" fontId="33" fillId="3" borderId="0" pivotButton="0" quotePrefix="0" xfId="0"/>
    <xf numFmtId="172" fontId="9" fillId="0" borderId="3" pivotButton="0" quotePrefix="0" xfId="0"/>
    <xf numFmtId="0" fontId="34" fillId="3" borderId="0" pivotButton="0" quotePrefix="0" xfId="0"/>
    <xf numFmtId="0" fontId="33" fillId="0" borderId="0" pivotButton="0" quotePrefix="0" xfId="0"/>
    <xf numFmtId="0" fontId="6" fillId="0" borderId="0" applyAlignment="1" pivotButton="0" quotePrefix="0" xfId="0">
      <alignment horizontal="center"/>
    </xf>
    <xf numFmtId="2" fontId="9" fillId="0" borderId="3" pivotButton="0" quotePrefix="0" xfId="0"/>
    <xf numFmtId="0" fontId="15" fillId="0" borderId="11" pivotButton="0" quotePrefix="0" xfId="0"/>
    <xf numFmtId="0" fontId="24" fillId="5" borderId="0" pivotButton="0" quotePrefix="0" xfId="0"/>
    <xf numFmtId="0" fontId="9" fillId="5" borderId="0" pivotButton="0" quotePrefix="0" xfId="0"/>
    <xf numFmtId="0" fontId="9" fillId="5" borderId="11" pivotButton="0" quotePrefix="0" xfId="0"/>
    <xf numFmtId="171" fontId="9" fillId="5" borderId="0" pivotButton="0" quotePrefix="0" xfId="0"/>
    <xf numFmtId="0" fontId="7" fillId="5" borderId="0" pivotButton="0" quotePrefix="0" xfId="0"/>
    <xf numFmtId="0" fontId="11" fillId="5" borderId="0" pivotButton="0" quotePrefix="0" xfId="0"/>
    <xf numFmtId="164" fontId="7" fillId="5" borderId="0" pivotButton="0" quotePrefix="0" xfId="1"/>
    <xf numFmtId="0" fontId="31" fillId="5" borderId="0" pivotButton="0" quotePrefix="0" xfId="0"/>
    <xf numFmtId="0" fontId="9" fillId="5" borderId="1" pivotButton="0" quotePrefix="0" xfId="0"/>
    <xf numFmtId="171" fontId="9" fillId="5" borderId="12" pivotButton="0" quotePrefix="0" xfId="0"/>
    <xf numFmtId="171" fontId="9" fillId="5" borderId="1" pivotButton="0" quotePrefix="0" xfId="0"/>
    <xf numFmtId="0" fontId="10" fillId="5" borderId="0" pivotButton="0" quotePrefix="0" xfId="0"/>
    <xf numFmtId="172" fontId="9" fillId="5" borderId="1" pivotButton="0" quotePrefix="0" xfId="0"/>
    <xf numFmtId="0" fontId="7" fillId="6" borderId="0" pivotButton="0" quotePrefix="0" xfId="0"/>
    <xf numFmtId="166" fontId="13" fillId="0" borderId="0" pivotButton="0" quotePrefix="0" xfId="0"/>
    <xf numFmtId="166" fontId="9" fillId="0" borderId="2" pivotButton="0" quotePrefix="0" xfId="0"/>
    <xf numFmtId="39" fontId="7" fillId="0" borderId="0" pivotButton="0" quotePrefix="0" xfId="0"/>
    <xf numFmtId="39" fontId="15" fillId="0" borderId="3" pivotButton="0" quotePrefix="0" xfId="0"/>
    <xf numFmtId="10" fontId="7" fillId="0" borderId="0" pivotButton="0" quotePrefix="0" xfId="1"/>
    <xf numFmtId="10" fontId="13" fillId="0" borderId="0" pivotButton="0" quotePrefix="0" xfId="1"/>
    <xf numFmtId="10" fontId="7" fillId="0" borderId="0" pivotButton="0" quotePrefix="0" xfId="0"/>
    <xf numFmtId="10" fontId="15" fillId="0" borderId="3" pivotButton="0" quotePrefix="0" xfId="0"/>
    <xf numFmtId="10" fontId="7" fillId="0" borderId="0" applyAlignment="1" pivotButton="0" quotePrefix="0" xfId="1">
      <alignment horizontal="left"/>
    </xf>
    <xf numFmtId="166" fontId="7" fillId="0" borderId="0" pivotButton="0" quotePrefix="0" xfId="0"/>
    <xf numFmtId="39" fontId="9" fillId="0" borderId="1" pivotButton="0" quotePrefix="0" xfId="0"/>
    <xf numFmtId="39" fontId="7" fillId="0" borderId="2" pivotButton="0" quotePrefix="0" xfId="0"/>
    <xf numFmtId="2" fontId="9" fillId="0" borderId="0" pivotButton="0" quotePrefix="0" xfId="0"/>
    <xf numFmtId="2" fontId="9" fillId="0" borderId="1" pivotButton="0" quotePrefix="0" xfId="0"/>
    <xf numFmtId="2" fontId="7" fillId="6" borderId="0" pivotButton="0" quotePrefix="0" xfId="0"/>
    <xf numFmtId="2" fontId="7" fillId="5" borderId="0" pivotButton="0" quotePrefix="0" xfId="0"/>
    <xf numFmtId="2" fontId="9" fillId="5" borderId="1" pivotButton="0" quotePrefix="0" xfId="0"/>
    <xf numFmtId="181" fontId="9" fillId="5" borderId="1" pivotButton="0" quotePrefix="0" xfId="0"/>
    <xf numFmtId="181" fontId="9" fillId="0" borderId="1" pivotButton="0" quotePrefix="0" xfId="0"/>
    <xf numFmtId="181" fontId="7" fillId="0" borderId="0" pivotButton="0" quotePrefix="0" xfId="0"/>
    <xf numFmtId="167" fontId="2" fillId="2" borderId="1" applyAlignment="1" pivotButton="0" quotePrefix="0" xfId="0">
      <alignment horizontal="right"/>
    </xf>
    <xf numFmtId="169" fontId="2" fillId="2" borderId="1" applyAlignment="1" pivotButton="0" quotePrefix="0" xfId="0">
      <alignment horizontal="right"/>
    </xf>
    <xf numFmtId="168" fontId="2" fillId="2" borderId="1" applyAlignment="1" pivotButton="0" quotePrefix="0" xfId="0">
      <alignment horizontal="right"/>
    </xf>
    <xf numFmtId="166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172" fontId="7" fillId="0" borderId="0" pivotButton="0" quotePrefix="0" xfId="0"/>
    <xf numFmtId="172" fontId="9" fillId="0" borderId="3" pivotButton="0" quotePrefix="0" xfId="0"/>
    <xf numFmtId="166" fontId="13" fillId="0" borderId="0" pivotButton="0" quotePrefix="0" xfId="0"/>
    <xf numFmtId="170" fontId="13" fillId="0" borderId="0" pivotButton="0" quotePrefix="0" xfId="0"/>
    <xf numFmtId="166" fontId="9" fillId="0" borderId="2" pivotButton="0" quotePrefix="0" xfId="0"/>
    <xf numFmtId="170" fontId="7" fillId="0" borderId="0" pivotButton="0" quotePrefix="0" xfId="0"/>
    <xf numFmtId="164" fontId="13" fillId="0" borderId="0" pivotButton="0" quotePrefix="0" xfId="1"/>
    <xf numFmtId="170" fontId="9" fillId="0" borderId="0" pivotButton="0" quotePrefix="0" xfId="0"/>
    <xf numFmtId="164" fontId="7" fillId="0" borderId="0" pivotButton="0" quotePrefix="0" xfId="0"/>
    <xf numFmtId="171" fontId="13" fillId="0" borderId="0" pivotButton="0" quotePrefix="0" xfId="0"/>
    <xf numFmtId="173" fontId="13" fillId="0" borderId="0" pivotButton="0" quotePrefix="0" xfId="0"/>
    <xf numFmtId="174" fontId="7" fillId="0" borderId="0" pivotButton="0" quotePrefix="0" xfId="0"/>
    <xf numFmtId="164" fontId="7" fillId="0" borderId="0" pivotButton="0" quotePrefix="0" xfId="1"/>
    <xf numFmtId="174" fontId="13" fillId="0" borderId="0" pivotButton="0" quotePrefix="0" xfId="0"/>
    <xf numFmtId="164" fontId="9" fillId="0" borderId="0" pivotButton="0" quotePrefix="0" xfId="0"/>
    <xf numFmtId="173" fontId="7" fillId="0" borderId="0" pivotButton="0" quotePrefix="0" xfId="0"/>
    <xf numFmtId="174" fontId="13" fillId="0" borderId="0" pivotButton="0" quotePrefix="0" xfId="1"/>
    <xf numFmtId="174" fontId="7" fillId="0" borderId="0" pivotButton="0" quotePrefix="0" xfId="1"/>
    <xf numFmtId="164" fontId="15" fillId="0" borderId="3" pivotButton="0" quotePrefix="0" xfId="0"/>
    <xf numFmtId="174" fontId="15" fillId="0" borderId="3" pivotButton="0" quotePrefix="0" xfId="0"/>
    <xf numFmtId="173" fontId="15" fillId="0" borderId="3" pivotButton="0" quotePrefix="0" xfId="0"/>
    <xf numFmtId="164" fontId="15" fillId="0" borderId="3" pivotButton="0" quotePrefix="0" xfId="1"/>
    <xf numFmtId="178" fontId="7" fillId="0" borderId="0" pivotButton="0" quotePrefix="0" xfId="0"/>
    <xf numFmtId="179" fontId="7" fillId="0" borderId="0" pivotButton="0" quotePrefix="0" xfId="0"/>
    <xf numFmtId="164" fontId="13" fillId="0" borderId="5" pivotButton="0" quotePrefix="0" xfId="1"/>
    <xf numFmtId="164" fontId="7" fillId="0" borderId="5" pivotButton="0" quotePrefix="0" xfId="0"/>
    <xf numFmtId="164" fontId="15" fillId="0" borderId="4" pivotButton="0" quotePrefix="0" xfId="0"/>
    <xf numFmtId="173" fontId="7" fillId="0" borderId="0" applyAlignment="1" pivotButton="0" quotePrefix="0" xfId="0">
      <alignment horizontal="left" indent="1"/>
    </xf>
    <xf numFmtId="166" fontId="7" fillId="0" borderId="0" pivotButton="0" quotePrefix="0" xfId="0"/>
    <xf numFmtId="174" fontId="9" fillId="0" borderId="3" pivotButton="0" quotePrefix="0" xfId="0"/>
    <xf numFmtId="173" fontId="9" fillId="0" borderId="0" pivotButton="0" quotePrefix="0" xfId="0"/>
    <xf numFmtId="173" fontId="9" fillId="0" borderId="3" pivotButton="0" quotePrefix="0" xfId="0"/>
    <xf numFmtId="169" fontId="19" fillId="3" borderId="0" applyAlignment="1" pivotButton="0" quotePrefix="0" xfId="0">
      <alignment horizontal="right"/>
    </xf>
    <xf numFmtId="169" fontId="19" fillId="3" borderId="9" applyAlignment="1" pivotButton="0" quotePrefix="0" xfId="0">
      <alignment horizontal="right"/>
    </xf>
    <xf numFmtId="168" fontId="19" fillId="3" borderId="0" applyAlignment="1" pivotButton="0" quotePrefix="0" xfId="0">
      <alignment horizontal="right"/>
    </xf>
    <xf numFmtId="175" fontId="6" fillId="0" borderId="0" pivotButton="0" quotePrefix="0" xfId="0"/>
    <xf numFmtId="174" fontId="28" fillId="0" borderId="0" pivotButton="0" quotePrefix="0" xfId="0"/>
    <xf numFmtId="174" fontId="9" fillId="0" borderId="9" pivotButton="0" quotePrefix="0" xfId="0"/>
    <xf numFmtId="174" fontId="29" fillId="0" borderId="0" pivotButton="0" quotePrefix="0" xfId="0"/>
    <xf numFmtId="174" fontId="9" fillId="0" borderId="1" pivotButton="0" quotePrefix="0" xfId="0"/>
    <xf numFmtId="164" fontId="20" fillId="0" borderId="0" pivotButton="0" quotePrefix="0" xfId="1"/>
    <xf numFmtId="164" fontId="20" fillId="0" borderId="10" pivotButton="0" quotePrefix="0" xfId="1"/>
    <xf numFmtId="174" fontId="7" fillId="0" borderId="9" pivotButton="0" quotePrefix="0" xfId="0"/>
    <xf numFmtId="174" fontId="9" fillId="0" borderId="8" pivotButton="0" quotePrefix="0" xfId="0"/>
    <xf numFmtId="174" fontId="9" fillId="0" borderId="0" pivotButton="0" quotePrefix="0" xfId="0"/>
    <xf numFmtId="169" fontId="19" fillId="3" borderId="11" applyAlignment="1" pivotButton="0" quotePrefix="0" xfId="0">
      <alignment horizontal="right"/>
    </xf>
    <xf numFmtId="174" fontId="7" fillId="0" borderId="2" pivotButton="0" quotePrefix="0" xfId="0"/>
    <xf numFmtId="174" fontId="7" fillId="0" borderId="13" pivotButton="0" quotePrefix="0" xfId="0"/>
    <xf numFmtId="174" fontId="7" fillId="0" borderId="11" pivotButton="0" quotePrefix="0" xfId="0"/>
    <xf numFmtId="174" fontId="9" fillId="0" borderId="12" pivotButton="0" quotePrefix="0" xfId="0"/>
    <xf numFmtId="173" fontId="13" fillId="0" borderId="11" pivotButton="0" quotePrefix="0" xfId="0"/>
    <xf numFmtId="174" fontId="11" fillId="0" borderId="0" pivotButton="0" quotePrefix="0" xfId="0"/>
    <xf numFmtId="169" fontId="19" fillId="0" borderId="0" applyAlignment="1" pivotButton="0" quotePrefix="0" xfId="0">
      <alignment horizontal="right"/>
    </xf>
    <xf numFmtId="168" fontId="19" fillId="0" borderId="0" applyAlignment="1" pivotButton="0" quotePrefix="0" xfId="0">
      <alignment horizontal="right"/>
    </xf>
    <xf numFmtId="171" fontId="7" fillId="0" borderId="0" pivotButton="0" quotePrefix="0" xfId="0"/>
    <xf numFmtId="171" fontId="9" fillId="0" borderId="1" pivotButton="0" quotePrefix="0" xfId="0"/>
    <xf numFmtId="171" fontId="9" fillId="5" borderId="0" pivotButton="0" quotePrefix="0" xfId="0"/>
    <xf numFmtId="171" fontId="9" fillId="0" borderId="2" pivotButton="0" quotePrefix="0" xfId="0"/>
    <xf numFmtId="164" fontId="9" fillId="4" borderId="2" pivotButton="0" quotePrefix="0" xfId="1"/>
    <xf numFmtId="172" fontId="9" fillId="4" borderId="1" pivotButton="0" quotePrefix="0" xfId="1"/>
    <xf numFmtId="164" fontId="15" fillId="0" borderId="0" pivotButton="0" quotePrefix="0" xfId="1"/>
    <xf numFmtId="171" fontId="7" fillId="0" borderId="2" pivotButton="0" quotePrefix="0" xfId="0"/>
    <xf numFmtId="175" fontId="6" fillId="3" borderId="3" pivotButton="0" quotePrefix="0" xfId="0"/>
    <xf numFmtId="171" fontId="7" fillId="0" borderId="11" pivotButton="0" quotePrefix="0" xfId="0"/>
    <xf numFmtId="181" fontId="7" fillId="0" borderId="0" pivotButton="0" quotePrefix="0" xfId="0"/>
    <xf numFmtId="164" fontId="7" fillId="5" borderId="0" pivotButton="0" quotePrefix="0" xfId="1"/>
    <xf numFmtId="164" fontId="9" fillId="0" borderId="3" pivotButton="0" quotePrefix="0" xfId="1"/>
    <xf numFmtId="168" fontId="19" fillId="3" borderId="11" applyAlignment="1" pivotButton="0" quotePrefix="0" xfId="0">
      <alignment horizontal="right"/>
    </xf>
    <xf numFmtId="171" fontId="9" fillId="0" borderId="11" pivotButton="0" quotePrefix="0" xfId="0"/>
    <xf numFmtId="171" fontId="9" fillId="0" borderId="0" pivotButton="0" quotePrefix="0" xfId="0"/>
    <xf numFmtId="171" fontId="9" fillId="0" borderId="12" pivotButton="0" quotePrefix="0" xfId="0"/>
    <xf numFmtId="171" fontId="9" fillId="5" borderId="12" pivotButton="0" quotePrefix="0" xfId="0"/>
    <xf numFmtId="171" fontId="9" fillId="5" borderId="1" pivotButton="0" quotePrefix="0" xfId="0"/>
    <xf numFmtId="180" fontId="9" fillId="0" borderId="11" pivotButton="0" quotePrefix="0" xfId="0"/>
    <xf numFmtId="181" fontId="9" fillId="0" borderId="1" pivotButton="0" quotePrefix="0" xfId="0"/>
    <xf numFmtId="172" fontId="9" fillId="5" borderId="1" pivotButton="0" quotePrefix="0" xfId="0"/>
    <xf numFmtId="181" fontId="9" fillId="5" borderId="1" pivotButton="0" quotePrefix="0" xfId="0"/>
    <xf numFmtId="176" fontId="13" fillId="0" borderId="0" applyAlignment="1" pivotButton="0" quotePrefix="0" xfId="0">
      <alignment vertical="center"/>
    </xf>
    <xf numFmtId="176" fontId="13" fillId="0" borderId="0" applyAlignment="1" pivotButton="0" quotePrefix="0" xfId="0">
      <alignment horizontal="center" vertical="center"/>
    </xf>
    <xf numFmtId="173" fontId="7" fillId="0" borderId="0" applyAlignment="1" pivotButton="0" quotePrefix="0" xfId="0">
      <alignment horizontal="center" vertical="center"/>
    </xf>
    <xf numFmtId="173" fontId="13" fillId="0" borderId="0" applyAlignment="1" pivotButton="0" quotePrefix="0" xfId="0">
      <alignment horizontal="center" vertical="center"/>
    </xf>
    <xf numFmtId="173" fontId="13" fillId="0" borderId="0" applyAlignment="1" pivotButton="0" quotePrefix="0" xfId="0">
      <alignment vertical="center"/>
    </xf>
    <xf numFmtId="177" fontId="7" fillId="0" borderId="0" applyAlignment="1" pivotButton="0" quotePrefix="0" xfId="0">
      <alignment horizontal="center" vertical="center"/>
    </xf>
    <xf numFmtId="177" fontId="9" fillId="0" borderId="2" applyAlignment="1" pivotButton="0" quotePrefix="0" xfId="0">
      <alignment horizontal="center" vertical="center"/>
    </xf>
    <xf numFmtId="177" fontId="9" fillId="0" borderId="0" applyAlignment="1" pivotButton="0" quotePrefix="0" xfId="0">
      <alignment horizontal="center"/>
    </xf>
    <xf numFmtId="177" fontId="9" fillId="0" borderId="1" applyAlignment="1" pivotButton="0" quotePrefix="0" xfId="0">
      <alignment horizontal="center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81A00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strRef>
              <f>'Valuation Summary'!$C$5:$C$8</f>
              <strCache>
                <ptCount val="4"/>
                <pt idx="0">
                  <v>???</v>
                </pt>
                <pt idx="1">
                  <v>???</v>
                </pt>
                <pt idx="2">
                  <v>???</v>
                </pt>
                <pt idx="3">
                  <v>???</v>
                </pt>
              </strCache>
            </strRef>
          </xVal>
          <yVal>
            <numRef>
              <f>'Valuation Summary'!$C$5:$C$8</f>
              <numCache>
                <formatCode>0.0\x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00041840"/>
        <axId val="1100034640"/>
      </scatterChart>
      <valAx>
        <axId val="1100041840"/>
        <scaling>
          <orientation val="minMax"/>
          <max val="11"/>
          <min val="6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EV/ EBITDA Multiple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\x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0034640"/>
        <crosses val="autoZero"/>
        <crossBetween val="midCat"/>
        <majorUnit val="1"/>
      </valAx>
      <valAx>
        <axId val="1100034640"/>
        <scaling>
          <orientation val="minMax"/>
          <min val="6"/>
        </scaling>
        <delete val="1"/>
        <axPos val="l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0.0\x" sourceLinked="1"/>
        <majorTickMark val="none"/>
        <minorTickMark val="none"/>
        <tickLblPos val="nextTo"/>
        <crossAx val="1100041840"/>
        <crosses val="autoZero"/>
        <crossBetween val="midCat"/>
        <majorUnit val="2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314325</colOff>
      <row>1</row>
      <rowOff>104776</rowOff>
    </from>
    <to>
      <col>9</col>
      <colOff>19050</colOff>
      <row>12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D25" sqref="D25"/>
    </sheetView>
  </sheetViews>
  <sheetFormatPr baseColWidth="8" defaultRowHeight="14.25"/>
  <cols>
    <col width="2" customWidth="1" min="1" max="1"/>
    <col width="41" bestFit="1" customWidth="1" min="2" max="2"/>
    <col width="13.5" customWidth="1" min="3" max="3"/>
  </cols>
  <sheetData>
    <row r="1" ht="3.6" customHeight="1"/>
    <row r="2">
      <c r="B2" s="11" t="n"/>
    </row>
    <row r="3">
      <c r="B3" s="11" t="n"/>
    </row>
    <row r="4">
      <c r="B4" s="12" t="n"/>
    </row>
    <row r="5">
      <c r="B5" t="inlineStr">
        <is>
          <t>Calculation</t>
        </is>
      </c>
      <c r="C5" s="14" t="inlineStr">
        <is>
          <t>Black</t>
        </is>
      </c>
    </row>
    <row r="6" ht="14.25" customHeight="1">
      <c r="B6" t="inlineStr">
        <is>
          <t>Input</t>
        </is>
      </c>
      <c r="C6" s="13" t="inlineStr">
        <is>
          <t>Blue</t>
        </is>
      </c>
      <c r="E6" s="15" t="n"/>
    </row>
    <row r="7" ht="14.25" customHeight="1">
      <c r="C7" s="13" t="n"/>
    </row>
    <row r="9">
      <c r="B9" s="1" t="inlineStr">
        <is>
          <t>Company Financials (£m)</t>
        </is>
      </c>
      <c r="C9" s="229" t="n">
        <v>45657</v>
      </c>
      <c r="D9" s="230" t="n">
        <v>46022</v>
      </c>
      <c r="E9" s="231" t="n">
        <v>46387</v>
      </c>
      <c r="F9" s="231" t="n">
        <v>46752</v>
      </c>
      <c r="G9" s="231" t="n">
        <v>47118</v>
      </c>
      <c r="H9" s="231" t="n">
        <v>47483</v>
      </c>
    </row>
    <row r="10">
      <c r="B10" t="inlineStr">
        <is>
          <t>Revenue</t>
        </is>
      </c>
      <c r="C10" s="232" t="n">
        <v>9.99</v>
      </c>
      <c r="D10" s="232" t="n">
        <v>15.7</v>
      </c>
      <c r="E10" s="232" t="n">
        <v>19</v>
      </c>
      <c r="F10" s="232" t="n">
        <v>22.7</v>
      </c>
      <c r="G10" s="232" t="n">
        <v>27.3</v>
      </c>
      <c r="H10" s="232" t="n">
        <v>32.7</v>
      </c>
    </row>
    <row r="11">
      <c r="B11" t="inlineStr">
        <is>
          <t>EBITDA</t>
        </is>
      </c>
      <c r="C11" s="232" t="n">
        <v>1.034</v>
      </c>
      <c r="D11" s="232" t="n">
        <v>2.312</v>
      </c>
      <c r="E11" s="232" t="n">
        <v>2.377</v>
      </c>
      <c r="F11" s="232" t="n">
        <v>2.961</v>
      </c>
      <c r="G11" s="232" t="n">
        <v>3.762</v>
      </c>
      <c r="H11" s="232" t="n">
        <v>4.743</v>
      </c>
    </row>
    <row r="14">
      <c r="B14" s="1" t="inlineStr">
        <is>
          <t>Current Shareholdings (Diluted)</t>
        </is>
      </c>
      <c r="C14" s="3" t="n"/>
      <c r="F14" s="1" t="inlineStr">
        <is>
          <t>Other assumptions</t>
        </is>
      </c>
      <c r="G14" s="3" t="n"/>
      <c r="H14" s="1" t="n"/>
    </row>
    <row r="15">
      <c r="C15" s="2" t="n"/>
      <c r="F15" t="inlineStr">
        <is>
          <t>Tax</t>
        </is>
      </c>
      <c r="H15" s="233" t="n">
        <v>0.2</v>
      </c>
    </row>
    <row r="16">
      <c r="B16" t="inlineStr">
        <is>
          <t>Chairman</t>
        </is>
      </c>
      <c r="C16" s="6" t="n">
        <v>521805.281</v>
      </c>
      <c r="D16" s="233" t="n">
        <v>0.331</v>
      </c>
      <c r="F16" t="inlineStr">
        <is>
          <t>CAPEX</t>
        </is>
      </c>
      <c r="H16" s="233" t="n">
        <v>0.01</v>
      </c>
    </row>
    <row r="17">
      <c r="B17" t="inlineStr">
        <is>
          <t>CEO</t>
        </is>
      </c>
      <c r="C17" s="6" t="n">
        <v>553334.301</v>
      </c>
      <c r="D17" s="233" t="n">
        <v>0.351</v>
      </c>
      <c r="F17" t="inlineStr">
        <is>
          <t>Working capital</t>
        </is>
      </c>
      <c r="H17" s="233" t="n">
        <v>0.1</v>
      </c>
    </row>
    <row r="18">
      <c r="B18" t="inlineStr">
        <is>
          <t>Sales Director</t>
        </is>
      </c>
      <c r="C18" s="6" t="n">
        <v>102469.315</v>
      </c>
      <c r="D18" s="233" t="n">
        <v>0.065</v>
      </c>
      <c r="F18" t="inlineStr">
        <is>
          <t>Yield on senior debt</t>
        </is>
      </c>
      <c r="H18" s="233" t="n">
        <v>0.05</v>
      </c>
    </row>
    <row r="19">
      <c r="B19" t="inlineStr">
        <is>
          <t>Operations Director</t>
        </is>
      </c>
      <c r="C19" s="6" t="n">
        <v>95000.02473648335</v>
      </c>
      <c r="D19" s="233" t="n">
        <v>0.06026195849822377</v>
      </c>
      <c r="F19" t="inlineStr">
        <is>
          <t>Deal fees</t>
        </is>
      </c>
      <c r="H19" s="233" t="n">
        <v>0.015</v>
      </c>
    </row>
    <row r="20">
      <c r="B20" t="inlineStr">
        <is>
          <t>Head of US</t>
        </is>
      </c>
      <c r="C20" s="6" t="n">
        <v>0</v>
      </c>
      <c r="D20" s="233" t="n">
        <v>0</v>
      </c>
      <c r="F20" t="inlineStr">
        <is>
          <t>Cash at Bank</t>
        </is>
      </c>
      <c r="H20" s="234" t="n">
        <v>2.3</v>
      </c>
    </row>
    <row r="21">
      <c r="B21" t="inlineStr">
        <is>
          <t>External shareholders</t>
        </is>
      </c>
      <c r="C21" s="6" t="n">
        <v>165000.0426971502</v>
      </c>
      <c r="D21" s="233" t="n">
        <v>0.1046655066964658</v>
      </c>
    </row>
    <row r="22">
      <c r="B22" t="inlineStr">
        <is>
          <t xml:space="preserve">Employees </t>
        </is>
      </c>
      <c r="C22" s="6" t="n">
        <v>97999.02531625207</v>
      </c>
      <c r="D22" s="233" t="n">
        <v>0.06216433324997229</v>
      </c>
    </row>
    <row r="23">
      <c r="B23" t="inlineStr">
        <is>
          <t>Option holders</t>
        </is>
      </c>
      <c r="C23" s="6" t="n">
        <v>40843.01053565214</v>
      </c>
      <c r="D23" s="233" t="n">
        <v>0.0259082017364651</v>
      </c>
    </row>
    <row r="24">
      <c r="C24" s="4" t="n">
        <v>1576451</v>
      </c>
      <c r="D24" s="235" t="n">
        <v>1.000000000181127</v>
      </c>
    </row>
    <row r="27">
      <c r="C27" s="5" t="n"/>
    </row>
    <row r="30">
      <c r="D30" s="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G21" sqref="G21"/>
    </sheetView>
  </sheetViews>
  <sheetFormatPr baseColWidth="8" defaultColWidth="9.125" defaultRowHeight="12"/>
  <cols>
    <col width="1.75" customWidth="1" style="21" min="1" max="1"/>
    <col width="22.375" bestFit="1" customWidth="1" style="21" min="2" max="2"/>
    <col width="9.125" customWidth="1" style="21" min="3" max="3"/>
    <col width="9.125" customWidth="1" style="21" min="4" max="16384"/>
  </cols>
  <sheetData>
    <row r="1" ht="15" customFormat="1" customHeight="1" s="19">
      <c r="A1" s="187" t="inlineStr">
        <is>
          <t>Valuation Comparison</t>
        </is>
      </c>
    </row>
    <row r="5">
      <c r="B5" s="21" t="inlineStr">
        <is>
          <t>LBO Implied EV/EBITDA</t>
        </is>
      </c>
      <c r="C5" s="236">
        <f>LBO!H8</f>
        <v/>
      </c>
    </row>
    <row r="6">
      <c r="B6" s="21" t="inlineStr">
        <is>
          <t>DCF Implied EV/EBITDA</t>
        </is>
      </c>
      <c r="C6" s="236">
        <f>DCF!C6</f>
        <v/>
      </c>
    </row>
    <row r="7">
      <c r="B7" s="21" t="inlineStr">
        <is>
          <t>Public Comps</t>
        </is>
      </c>
      <c r="C7" s="236">
        <f>'Public Comps'!L27</f>
        <v/>
      </c>
    </row>
    <row r="8">
      <c r="B8" s="21" t="inlineStr">
        <is>
          <t>Precedent  Transactions</t>
        </is>
      </c>
      <c r="C8" s="236">
        <f>'Precedent Transactions'!J23</f>
        <v/>
      </c>
    </row>
    <row r="10">
      <c r="B10" s="38" t="inlineStr">
        <is>
          <t>Median</t>
        </is>
      </c>
      <c r="C10" s="237">
        <f>MEDIAN(C5:C8)</f>
        <v/>
      </c>
    </row>
    <row r="14">
      <c r="B14" s="131" t="inlineStr">
        <is>
          <t>Note: Median used for Public Comps, Lower Quartile used for Precedent Transactions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/>
    <pageSetUpPr/>
  </sheetPr>
  <dimension ref="A1:S220"/>
  <sheetViews>
    <sheetView showGridLines="0" zoomScaleNormal="100" workbookViewId="0">
      <selection activeCell="H8" sqref="H8"/>
    </sheetView>
  </sheetViews>
  <sheetFormatPr baseColWidth="8" defaultColWidth="9.125" defaultRowHeight="12" outlineLevelRow="1"/>
  <cols>
    <col width="1.75" customWidth="1" style="114" min="1" max="1"/>
    <col width="25" bestFit="1" customWidth="1" style="21" min="2" max="2"/>
    <col width="9.625" bestFit="1" customWidth="1" style="21" min="3" max="3"/>
    <col width="12.125" bestFit="1" customWidth="1" style="21" min="4" max="4"/>
    <col width="14.125" bestFit="1" customWidth="1" style="21" min="5" max="5"/>
    <col width="10.375" bestFit="1" customWidth="1" style="21" min="6" max="6"/>
    <col width="10.625" bestFit="1" customWidth="1" style="21" min="7" max="7"/>
    <col width="15.625" customWidth="1" style="21" min="8" max="8"/>
    <col width="10.25" bestFit="1" customWidth="1" style="21" min="9" max="9"/>
    <col width="10" bestFit="1" customWidth="1" style="21" min="10" max="10"/>
    <col width="9.875" bestFit="1" customWidth="1" style="21" min="11" max="11"/>
    <col width="9.125" customWidth="1" style="21" min="12" max="12"/>
    <col width="9.125" customWidth="1" style="21" min="13" max="16384"/>
  </cols>
  <sheetData>
    <row r="1" ht="15" customFormat="1" customHeight="1" s="190">
      <c r="B1" s="188" t="inlineStr">
        <is>
          <t>Visante - LBO Model</t>
        </is>
      </c>
    </row>
    <row r="2" ht="3.95" customHeight="1"/>
    <row r="3" customFormat="1" s="20">
      <c r="A3" s="115" t="inlineStr">
        <is>
          <t>X</t>
        </is>
      </c>
      <c r="B3" s="19" t="inlineStr">
        <is>
          <t>Assumptions</t>
        </is>
      </c>
    </row>
    <row r="4" outlineLevel="1"/>
    <row r="5" outlineLevel="1">
      <c r="B5" s="23" t="inlineStr">
        <is>
          <t>Inputs</t>
        </is>
      </c>
      <c r="F5" s="23" t="inlineStr">
        <is>
          <t>Valuation related</t>
        </is>
      </c>
      <c r="J5" s="23" t="inlineStr">
        <is>
          <t>Transaction Timings</t>
        </is>
      </c>
    </row>
    <row r="6" outlineLevel="1">
      <c r="B6" s="61" t="inlineStr">
        <is>
          <t>Calculation</t>
        </is>
      </c>
      <c r="C6" s="25" t="inlineStr">
        <is>
          <t>Black</t>
        </is>
      </c>
      <c r="F6" s="61" t="inlineStr">
        <is>
          <t>Entry EBITDA</t>
        </is>
      </c>
      <c r="H6" s="238" t="n">
        <v>2.312</v>
      </c>
      <c r="J6" s="61" t="inlineStr">
        <is>
          <t>Financial Year-end</t>
        </is>
      </c>
      <c r="M6" s="132" t="n">
        <v>46022</v>
      </c>
    </row>
    <row r="7" outlineLevel="1">
      <c r="B7" s="61" t="inlineStr">
        <is>
          <t>Input</t>
        </is>
      </c>
      <c r="C7" s="26" t="inlineStr">
        <is>
          <t>Blue</t>
        </is>
      </c>
      <c r="F7" s="61" t="inlineStr">
        <is>
          <t>Entry Enterprise Value</t>
        </is>
      </c>
      <c r="H7" s="239" t="n">
        <v>19</v>
      </c>
      <c r="J7" s="61" t="inlineStr">
        <is>
          <t>Targeted Completion Date</t>
        </is>
      </c>
      <c r="M7" s="132" t="n">
        <v>45930</v>
      </c>
    </row>
    <row r="8" outlineLevel="1">
      <c r="F8" s="61" t="inlineStr">
        <is>
          <t>Implied Multiple</t>
        </is>
      </c>
      <c r="H8" s="236">
        <f>H7/H6</f>
        <v/>
      </c>
      <c r="J8" s="183" t="inlineStr">
        <is>
          <t>Year Fraction</t>
        </is>
      </c>
      <c r="K8" s="99" t="n"/>
      <c r="L8" s="99" t="n"/>
      <c r="M8" s="240">
        <f>YEARFRAC(M7,M6)</f>
        <v/>
      </c>
    </row>
    <row r="9" outlineLevel="1">
      <c r="B9" s="23" t="inlineStr">
        <is>
          <t>Operating related</t>
        </is>
      </c>
      <c r="F9" s="61" t="inlineStr">
        <is>
          <t>EV</t>
        </is>
      </c>
      <c r="H9" s="241">
        <f>H7</f>
        <v/>
      </c>
    </row>
    <row r="10" outlineLevel="1">
      <c r="B10" s="61" t="inlineStr">
        <is>
          <t>Tax</t>
        </is>
      </c>
      <c r="D10" s="242" t="n">
        <v>0.2</v>
      </c>
      <c r="F10" s="61" t="inlineStr">
        <is>
          <t>Net cash/ (debt)</t>
        </is>
      </c>
      <c r="H10" s="241" t="n">
        <v>2.3</v>
      </c>
      <c r="I10" s="36" t="n"/>
    </row>
    <row r="11" outlineLevel="1">
      <c r="B11" s="61" t="inlineStr">
        <is>
          <t>CAPEX</t>
        </is>
      </c>
      <c r="D11" s="242" t="n">
        <v>0.01</v>
      </c>
      <c r="F11" s="61" t="inlineStr">
        <is>
          <t xml:space="preserve">Working Capital Adj. </t>
        </is>
      </c>
      <c r="H11" s="239" t="n">
        <v>0</v>
      </c>
      <c r="I11" s="36" t="inlineStr">
        <is>
          <t>&lt;&lt; At this stage, assumed to be no adjustment</t>
        </is>
      </c>
    </row>
    <row r="12" outlineLevel="1">
      <c r="B12" s="61" t="inlineStr">
        <is>
          <t>Working capital</t>
        </is>
      </c>
      <c r="D12" s="242" t="n">
        <v>0.1</v>
      </c>
      <c r="F12" s="184" t="inlineStr">
        <is>
          <t>EqV</t>
        </is>
      </c>
      <c r="G12" s="22" t="n"/>
      <c r="H12" s="243">
        <f>H9+H10+H11</f>
        <v/>
      </c>
      <c r="I12" s="36" t="n"/>
    </row>
    <row r="13" outlineLevel="1">
      <c r="B13" s="61" t="inlineStr">
        <is>
          <t>Yield on senior debt</t>
        </is>
      </c>
      <c r="D13" s="242" t="n">
        <v>0.05</v>
      </c>
    </row>
    <row r="14" outlineLevel="1">
      <c r="B14" s="61" t="inlineStr">
        <is>
          <t>Cash at Bank (£m)</t>
        </is>
      </c>
      <c r="D14" s="28" t="n">
        <v>2.3</v>
      </c>
      <c r="F14" s="23" t="inlineStr">
        <is>
          <t>Debt related</t>
        </is>
      </c>
      <c r="H14" s="29" t="inlineStr">
        <is>
          <t>Yield</t>
        </is>
      </c>
      <c r="I14" s="29" t="inlineStr">
        <is>
          <t>Split</t>
        </is>
      </c>
      <c r="J14" s="29" t="inlineStr">
        <is>
          <t>Maturity</t>
        </is>
      </c>
    </row>
    <row r="15" outlineLevel="1">
      <c r="B15" s="61" t="inlineStr">
        <is>
          <t>FY30 Revenue Growth</t>
        </is>
      </c>
      <c r="D15" s="242" t="n">
        <v>0.2</v>
      </c>
      <c r="F15" s="61" t="inlineStr">
        <is>
          <t>TLA - Ammortising</t>
        </is>
      </c>
      <c r="H15" s="244" t="n">
        <v>0.04</v>
      </c>
      <c r="I15" s="242" t="n">
        <v>0.5</v>
      </c>
      <c r="J15" s="28" t="n">
        <v>7</v>
      </c>
    </row>
    <row r="16" outlineLevel="1">
      <c r="B16" s="61" t="inlineStr">
        <is>
          <t>FY30 EBITDA Margin</t>
        </is>
      </c>
      <c r="D16" s="242" t="n">
        <v>0.14</v>
      </c>
      <c r="F16" s="61" t="inlineStr">
        <is>
          <t>TLB  - Bullet</t>
        </is>
      </c>
      <c r="H16" s="244" t="n">
        <v>0.06</v>
      </c>
      <c r="I16" s="242" t="n">
        <v>0.5</v>
      </c>
      <c r="J16" s="28" t="n">
        <v>7</v>
      </c>
    </row>
    <row r="17" outlineLevel="1">
      <c r="F17" s="61" t="n"/>
    </row>
    <row r="18" outlineLevel="1">
      <c r="B18" s="23" t="inlineStr">
        <is>
          <t>Transaction related</t>
        </is>
      </c>
      <c r="F18" s="61" t="inlineStr">
        <is>
          <t>Debt Raised (£m)</t>
        </is>
      </c>
      <c r="H18" s="245" t="n">
        <v>5</v>
      </c>
    </row>
    <row r="19" outlineLevel="1">
      <c r="B19" s="61" t="inlineStr">
        <is>
          <t>Deal fees</t>
        </is>
      </c>
      <c r="D19" s="242" t="n">
        <v>0.015</v>
      </c>
    </row>
    <row r="20" outlineLevel="1">
      <c r="B20" s="61" t="inlineStr">
        <is>
          <t>Completion Consideration</t>
        </is>
      </c>
      <c r="D20" s="28">
        <f>D12+D21</f>
        <v/>
      </c>
    </row>
    <row r="21" outlineLevel="1">
      <c r="B21" s="61" t="inlineStr">
        <is>
          <t>Buyside Fees and Expenses (£m)</t>
        </is>
      </c>
      <c r="D21" s="28" t="n">
        <v>0.555</v>
      </c>
      <c r="F21" s="110" t="inlineStr">
        <is>
          <t>Cirularity</t>
        </is>
      </c>
      <c r="G21" s="111" t="inlineStr">
        <is>
          <t>Yes</t>
        </is>
      </c>
      <c r="K21" s="25" t="n"/>
    </row>
    <row r="22" outlineLevel="1">
      <c r="B22" s="61" t="inlineStr">
        <is>
          <t>Sweet Equity</t>
        </is>
      </c>
      <c r="D22" s="242" t="n">
        <v>0.25</v>
      </c>
      <c r="K22" s="26" t="n"/>
    </row>
    <row r="23" outlineLevel="1">
      <c r="B23" s="61" t="inlineStr">
        <is>
          <t>Pref/ Loan Notes</t>
        </is>
      </c>
      <c r="D23" s="242" t="n">
        <v>0.9</v>
      </c>
    </row>
    <row r="24" outlineLevel="1">
      <c r="B24" s="61" t="inlineStr">
        <is>
          <t>Ordinary Equity</t>
        </is>
      </c>
      <c r="D24" s="244">
        <f>D20-D18-D22-D23</f>
        <v/>
      </c>
    </row>
    <row r="25" outlineLevel="1">
      <c r="B25" s="61" t="inlineStr">
        <is>
          <t>Loan Note  rate</t>
        </is>
      </c>
      <c r="D25" s="242" t="n">
        <v>0.1</v>
      </c>
      <c r="E25" s="113" t="inlineStr">
        <is>
          <t>&lt;&lt; Assumed PIK</t>
        </is>
      </c>
    </row>
    <row r="26" ht="3.95" customHeight="1"/>
    <row r="27" customFormat="1" s="20">
      <c r="A27" s="115" t="inlineStr">
        <is>
          <t>X</t>
        </is>
      </c>
      <c r="B27" s="19" t="inlineStr">
        <is>
          <t>Cap Table</t>
        </is>
      </c>
    </row>
    <row r="28" outlineLevel="1">
      <c r="L28" s="93" t="n"/>
      <c r="M28" s="22" t="n"/>
      <c r="N28" s="93" t="n"/>
    </row>
    <row r="29" outlineLevel="1" ht="24" customHeight="1">
      <c r="B29" s="41" t="inlineStr">
        <is>
          <t>Shareholder/ Stakeholder</t>
        </is>
      </c>
      <c r="C29" s="42" t="inlineStr">
        <is>
          <t># Shares</t>
        </is>
      </c>
      <c r="D29" s="42" t="inlineStr">
        <is>
          <t>% Holding</t>
        </is>
      </c>
      <c r="E29" s="42" t="inlineStr">
        <is>
          <t>Gross Proceeds</t>
        </is>
      </c>
      <c r="F29" s="42" t="inlineStr">
        <is>
          <t>Sellers' Fees</t>
        </is>
      </c>
      <c r="G29" s="42" t="inlineStr">
        <is>
          <t>Rollover</t>
        </is>
      </c>
      <c r="H29" s="42" t="inlineStr">
        <is>
          <t>Rolled Ownership %</t>
        </is>
      </c>
      <c r="I29" s="42" t="inlineStr">
        <is>
          <t>Rollover (£m)</t>
        </is>
      </c>
      <c r="J29" s="42" t="inlineStr">
        <is>
          <t>Cashout</t>
        </is>
      </c>
      <c r="K29" s="42" t="inlineStr">
        <is>
          <t>New capital</t>
        </is>
      </c>
      <c r="L29" s="42" t="inlineStr">
        <is>
          <t>NewCo Capital</t>
        </is>
      </c>
      <c r="M29" s="42" t="inlineStr">
        <is>
          <t>NewCo LN  (£m)</t>
        </is>
      </c>
      <c r="N29" s="42" t="inlineStr">
        <is>
          <t>NewCo Equity (£m)</t>
        </is>
      </c>
    </row>
    <row r="30" outlineLevel="1">
      <c r="B30" s="47" t="n"/>
      <c r="C30" s="48" t="n"/>
      <c r="D30" s="48" t="n"/>
      <c r="E30" s="48" t="n"/>
      <c r="G30" s="48" t="n"/>
      <c r="I30" s="48" t="n"/>
      <c r="J30" s="48" t="n"/>
      <c r="K30" s="48" t="n"/>
    </row>
    <row r="31" outlineLevel="1">
      <c r="B31" s="91" t="inlineStr">
        <is>
          <t>Non  Participating</t>
        </is>
      </c>
      <c r="C31" s="48" t="n"/>
      <c r="D31" s="48" t="n"/>
      <c r="E31" s="48" t="n"/>
      <c r="G31" s="48" t="n"/>
      <c r="I31" s="48" t="n"/>
      <c r="J31" s="48" t="n"/>
      <c r="K31" s="48" t="n"/>
    </row>
    <row r="32" outlineLevel="1">
      <c r="B32" s="61" t="inlineStr">
        <is>
          <t>Chairman</t>
        </is>
      </c>
      <c r="C32" s="246" t="n">
        <v>521805.281</v>
      </c>
      <c r="D32" s="242" t="n">
        <v>0.331</v>
      </c>
      <c r="E32" s="211" t="n"/>
      <c r="F32" s="247" t="n"/>
      <c r="G32" s="60" t="n">
        <v>0</v>
      </c>
      <c r="H32" s="248" t="n"/>
      <c r="I32" s="247" t="n"/>
      <c r="J32" s="211" t="n"/>
      <c r="K32" s="249" t="n"/>
      <c r="L32" s="249" t="n"/>
      <c r="M32" s="249" t="n"/>
      <c r="N32" s="249" t="n"/>
    </row>
    <row r="33" outlineLevel="1">
      <c r="B33" s="61" t="inlineStr">
        <is>
          <t>Head of US</t>
        </is>
      </c>
      <c r="C33" s="246" t="n">
        <v>0</v>
      </c>
      <c r="D33" s="242" t="n">
        <v>0</v>
      </c>
      <c r="E33" s="247" t="n"/>
      <c r="F33" s="247" t="n"/>
      <c r="G33" s="60" t="n">
        <v>0</v>
      </c>
      <c r="H33" s="248" t="n"/>
      <c r="I33" s="247" t="n"/>
      <c r="J33" s="247" t="n"/>
      <c r="K33" s="249" t="n"/>
      <c r="L33" s="249" t="n"/>
      <c r="M33" s="249" t="n"/>
      <c r="N33" s="249" t="n"/>
      <c r="O33" s="55" t="n"/>
      <c r="P33" s="248" t="n"/>
      <c r="R33" s="55" t="n"/>
      <c r="S33" s="248" t="n"/>
    </row>
    <row r="34" outlineLevel="1">
      <c r="B34" s="61" t="inlineStr">
        <is>
          <t>External shareholders</t>
        </is>
      </c>
      <c r="C34" s="246" t="n">
        <v>165000.0426971502</v>
      </c>
      <c r="D34" s="242" t="n">
        <v>0.1046655066964658</v>
      </c>
      <c r="E34" s="211" t="n"/>
      <c r="F34" s="247" t="n"/>
      <c r="G34" s="60" t="n">
        <v>0</v>
      </c>
      <c r="H34" s="248" t="n"/>
      <c r="I34" s="247" t="n"/>
      <c r="J34" s="211" t="n"/>
      <c r="K34" s="249" t="n"/>
      <c r="L34" s="249" t="n"/>
      <c r="M34" s="249" t="n"/>
      <c r="N34" s="249" t="n"/>
      <c r="O34" s="55" t="n"/>
      <c r="P34" s="248" t="n"/>
      <c r="R34" s="55" t="n"/>
      <c r="S34" s="248" t="n"/>
    </row>
    <row r="35" outlineLevel="1">
      <c r="B35" s="61" t="n"/>
      <c r="C35" s="246" t="n"/>
      <c r="D35" s="242" t="n"/>
      <c r="E35" s="247" t="n"/>
      <c r="G35" s="60" t="n"/>
      <c r="H35" s="244" t="n"/>
      <c r="I35" s="247" t="n"/>
      <c r="J35" s="247" t="n"/>
      <c r="K35" s="249" t="n"/>
      <c r="L35" s="247" t="n"/>
      <c r="M35" s="247" t="n"/>
      <c r="N35" s="247" t="n"/>
    </row>
    <row r="36" outlineLevel="1">
      <c r="B36" s="92" t="inlineStr">
        <is>
          <t>Visante Management</t>
        </is>
      </c>
      <c r="C36" s="246" t="n"/>
      <c r="D36" s="242" t="n"/>
      <c r="E36" s="247" t="n"/>
      <c r="G36" s="60" t="n"/>
      <c r="H36" s="244" t="n"/>
      <c r="I36" s="247" t="n"/>
      <c r="J36" s="247" t="n"/>
      <c r="K36" s="249" t="n"/>
      <c r="L36" s="247" t="n"/>
      <c r="M36" s="247" t="n"/>
      <c r="N36" s="247" t="n"/>
    </row>
    <row r="37" outlineLevel="1">
      <c r="B37" s="61" t="inlineStr">
        <is>
          <t>CEO</t>
        </is>
      </c>
      <c r="C37" s="246" t="n">
        <v>553334.301</v>
      </c>
      <c r="D37" s="242" t="n">
        <v>0.351</v>
      </c>
      <c r="E37" s="211" t="n"/>
      <c r="F37" s="247" t="n"/>
      <c r="G37" s="60" t="n">
        <v>0.5</v>
      </c>
      <c r="H37" s="248" t="n"/>
      <c r="I37" s="211" t="n"/>
      <c r="J37" s="211" t="n"/>
      <c r="K37" s="249" t="n"/>
      <c r="L37" s="211" t="n"/>
      <c r="M37" s="211" t="n"/>
      <c r="N37" s="211" t="n"/>
    </row>
    <row r="38" outlineLevel="1">
      <c r="B38" s="61" t="inlineStr">
        <is>
          <t>Sales Director</t>
        </is>
      </c>
      <c r="C38" s="246" t="n">
        <v>102469.315</v>
      </c>
      <c r="D38" s="242" t="n">
        <v>0.065</v>
      </c>
      <c r="E38" s="211" t="n"/>
      <c r="F38" s="247" t="n"/>
      <c r="G38" s="60" t="n">
        <v>0.5</v>
      </c>
      <c r="H38" s="248" t="n"/>
      <c r="I38" s="211" t="n"/>
      <c r="J38" s="211" t="n"/>
      <c r="K38" s="249" t="n"/>
      <c r="L38" s="211" t="n"/>
      <c r="M38" s="211" t="n"/>
      <c r="N38" s="211" t="n"/>
    </row>
    <row r="39" outlineLevel="1">
      <c r="B39" s="61" t="inlineStr">
        <is>
          <t>Operations Director</t>
        </is>
      </c>
      <c r="C39" s="246" t="n">
        <v>95000.02473648335</v>
      </c>
      <c r="D39" s="242" t="n">
        <v>0.06026195849822377</v>
      </c>
      <c r="E39" s="211" t="n"/>
      <c r="F39" s="247" t="n"/>
      <c r="G39" s="60" t="n">
        <v>0.5</v>
      </c>
      <c r="H39" s="248" t="n"/>
      <c r="I39" s="211" t="n"/>
      <c r="J39" s="211" t="n"/>
      <c r="K39" s="249" t="n"/>
      <c r="L39" s="211" t="n"/>
      <c r="M39" s="211" t="n"/>
      <c r="N39" s="211" t="n"/>
      <c r="O39" s="55" t="n"/>
      <c r="P39" s="248" t="n"/>
    </row>
    <row r="40" outlineLevel="1">
      <c r="B40" s="61" t="n"/>
      <c r="C40" s="246" t="n"/>
      <c r="D40" s="242" t="n"/>
      <c r="E40" s="247" t="n"/>
      <c r="G40" s="60" t="n"/>
      <c r="H40" s="244" t="n"/>
      <c r="I40" s="211" t="n"/>
      <c r="J40" s="211" t="n"/>
      <c r="K40" s="249" t="n"/>
      <c r="L40" s="211" t="n"/>
      <c r="M40" s="211" t="n"/>
      <c r="N40" s="211" t="n"/>
      <c r="O40" s="55" t="n"/>
      <c r="P40" s="248" t="n"/>
    </row>
    <row r="41" outlineLevel="1">
      <c r="B41" s="92" t="inlineStr">
        <is>
          <t>Visante Employees</t>
        </is>
      </c>
      <c r="C41" s="246" t="n"/>
      <c r="D41" s="242" t="n"/>
      <c r="E41" s="247" t="n"/>
      <c r="G41" s="60" t="n"/>
      <c r="H41" s="244" t="n"/>
      <c r="I41" s="211" t="n"/>
      <c r="J41" s="211" t="n"/>
      <c r="K41" s="249" t="n"/>
      <c r="L41" s="211" t="n"/>
      <c r="M41" s="211" t="n"/>
      <c r="N41" s="211" t="n"/>
      <c r="O41" s="55" t="n"/>
      <c r="P41" s="248" t="n"/>
    </row>
    <row r="42" outlineLevel="1">
      <c r="B42" s="61" t="inlineStr">
        <is>
          <t xml:space="preserve">Employees </t>
        </is>
      </c>
      <c r="C42" s="246" t="n">
        <v>97999.02531625207</v>
      </c>
      <c r="D42" s="242" t="n">
        <v>0.06216433324997229</v>
      </c>
      <c r="E42" s="211" t="n"/>
      <c r="F42" s="247" t="n"/>
      <c r="G42" s="60" t="n">
        <v>0.5</v>
      </c>
      <c r="H42" s="248" t="n"/>
      <c r="I42" s="211" t="n"/>
      <c r="J42" s="211" t="n"/>
      <c r="K42" s="249" t="n"/>
      <c r="L42" s="211" t="n"/>
      <c r="M42" s="211" t="n"/>
      <c r="N42" s="211" t="n"/>
      <c r="O42" s="56" t="n"/>
      <c r="P42" s="250" t="n"/>
      <c r="R42" s="55" t="n"/>
    </row>
    <row r="43" outlineLevel="1">
      <c r="B43" s="61" t="inlineStr">
        <is>
          <t>Existing Option holders</t>
        </is>
      </c>
      <c r="C43" s="246" t="n">
        <v>40843.01053565214</v>
      </c>
      <c r="D43" s="242" t="n">
        <v>0.0259082017364651</v>
      </c>
      <c r="E43" s="211" t="n"/>
      <c r="F43" s="247" t="n"/>
      <c r="G43" s="60" t="n">
        <v>0.5</v>
      </c>
      <c r="H43" s="248" t="n"/>
      <c r="I43" s="211" t="n"/>
      <c r="J43" s="211" t="n"/>
      <c r="K43" s="249" t="n"/>
      <c r="L43" s="211" t="n"/>
      <c r="M43" s="211" t="n"/>
      <c r="N43" s="211" t="n"/>
    </row>
    <row r="44" outlineLevel="1">
      <c r="C44" s="246" t="n"/>
      <c r="D44" s="242" t="n"/>
      <c r="E44" s="247" t="n"/>
      <c r="G44" s="251" t="n"/>
      <c r="H44" s="244" t="n"/>
      <c r="I44" s="252" t="n"/>
      <c r="J44" s="247" t="n"/>
      <c r="K44" s="247" t="n"/>
      <c r="L44" s="253" t="n"/>
      <c r="M44" s="247" t="n"/>
      <c r="N44" s="253" t="n"/>
      <c r="Q44" s="242" t="n"/>
    </row>
    <row r="45" outlineLevel="1">
      <c r="B45" s="23" t="inlineStr">
        <is>
          <t>New Capital</t>
        </is>
      </c>
      <c r="C45" s="246" t="n"/>
      <c r="D45" s="242" t="n"/>
      <c r="E45" s="247" t="n"/>
      <c r="G45" s="251" t="n"/>
      <c r="I45" s="252" t="n"/>
      <c r="J45" s="247" t="n"/>
      <c r="K45" s="247" t="n"/>
      <c r="L45" s="253" t="n"/>
      <c r="M45" s="253" t="n"/>
      <c r="N45" s="253" t="n"/>
      <c r="Q45" s="242" t="n"/>
    </row>
    <row r="46" outlineLevel="1">
      <c r="B46" s="61" t="inlineStr">
        <is>
          <t>XPE</t>
        </is>
      </c>
      <c r="C46" s="246" t="n">
        <v>0</v>
      </c>
      <c r="D46" s="249" t="n">
        <v>0</v>
      </c>
      <c r="E46" s="249" t="n"/>
      <c r="F46" s="249" t="n"/>
      <c r="G46" s="249" t="n"/>
      <c r="H46" s="249" t="n"/>
      <c r="I46" s="249" t="n"/>
      <c r="J46" s="247" t="n"/>
      <c r="K46" s="211" t="n"/>
      <c r="L46" s="211" t="n"/>
      <c r="M46" s="211" t="n"/>
      <c r="N46" s="211" t="n"/>
      <c r="Q46" s="242" t="n"/>
    </row>
    <row r="47" outlineLevel="1">
      <c r="B47" s="61" t="inlineStr">
        <is>
          <t>Sweet Equity</t>
        </is>
      </c>
      <c r="C47" s="246" t="n">
        <v>0</v>
      </c>
      <c r="D47" s="249" t="n">
        <v>0</v>
      </c>
      <c r="E47" s="249" t="n"/>
      <c r="F47" s="249" t="n"/>
      <c r="G47" s="249" t="n"/>
      <c r="H47" s="249" t="n"/>
      <c r="I47" s="249" t="n"/>
      <c r="J47" s="247" t="n"/>
      <c r="K47" s="211" t="n"/>
      <c r="L47" s="211" t="n"/>
      <c r="M47" s="249" t="n"/>
      <c r="N47" s="249" t="n"/>
      <c r="Q47" s="242" t="n"/>
    </row>
    <row r="48" outlineLevel="1">
      <c r="B48" s="61" t="inlineStr">
        <is>
          <t>Debt</t>
        </is>
      </c>
      <c r="C48" s="246" t="n">
        <v>0</v>
      </c>
      <c r="D48" s="247" t="n">
        <v>0</v>
      </c>
      <c r="E48" s="247" t="n"/>
      <c r="F48" s="247" t="n"/>
      <c r="G48" s="247" t="n"/>
      <c r="H48" s="247" t="n"/>
      <c r="I48" s="247" t="n"/>
      <c r="J48" s="247" t="n"/>
      <c r="K48" s="211" t="n"/>
      <c r="L48" s="211" t="n"/>
      <c r="M48" s="249" t="n"/>
      <c r="N48" s="249" t="n"/>
      <c r="Q48" s="242" t="n"/>
    </row>
    <row r="49" outlineLevel="1">
      <c r="C49" s="39" t="n"/>
      <c r="D49" s="242" t="n"/>
      <c r="E49" s="247" t="n"/>
      <c r="G49" s="251" t="n"/>
      <c r="I49" s="252" t="n"/>
      <c r="J49" s="247" t="n"/>
      <c r="K49" s="247" t="n"/>
      <c r="L49" s="247" t="n"/>
      <c r="M49" s="247" t="n"/>
      <c r="N49" s="247" t="n"/>
      <c r="Q49" s="242" t="n"/>
    </row>
    <row r="50" outlineLevel="1">
      <c r="B50" s="43" t="inlineStr">
        <is>
          <t>Total</t>
        </is>
      </c>
      <c r="C50" s="44" t="n"/>
      <c r="D50" s="254" t="n"/>
      <c r="E50" s="255" t="n"/>
      <c r="F50" s="255" t="n"/>
      <c r="G50" s="256" t="n"/>
      <c r="H50" s="257" t="n"/>
      <c r="I50" s="255" t="n"/>
      <c r="J50" s="255" t="n"/>
      <c r="K50" s="255" t="n"/>
      <c r="L50" s="255" t="n"/>
      <c r="M50" s="255" t="n"/>
      <c r="N50" s="255" t="n"/>
      <c r="P50" s="244" t="n"/>
      <c r="Q50" s="242" t="n"/>
      <c r="R50" s="58" t="n"/>
    </row>
    <row r="51" outlineLevel="1">
      <c r="O51" s="22" t="n"/>
      <c r="P51" s="250" t="n"/>
      <c r="Q51" s="242" t="n"/>
      <c r="R51" s="250" t="n"/>
    </row>
    <row r="52" outlineLevel="1">
      <c r="B52" s="51" t="inlineStr">
        <is>
          <t>Shareholder</t>
        </is>
      </c>
      <c r="C52" s="49" t="n"/>
      <c r="D52" s="49" t="n"/>
      <c r="E52" s="65" t="n"/>
      <c r="F52" s="49" t="n"/>
      <c r="G52" s="49" t="n"/>
    </row>
    <row r="53" outlineLevel="1" ht="24" customHeight="1">
      <c r="B53" s="52" t="n"/>
      <c r="C53" s="63" t="inlineStr">
        <is>
          <t>NewCo  Equity</t>
        </is>
      </c>
      <c r="D53" s="64" t="inlineStr">
        <is>
          <t>Pre-dilution</t>
        </is>
      </c>
      <c r="E53" s="66" t="inlineStr">
        <is>
          <t>Options</t>
        </is>
      </c>
      <c r="F53" s="64" t="inlineStr">
        <is>
          <t>Post- dilution</t>
        </is>
      </c>
      <c r="G53" s="64" t="inlineStr">
        <is>
          <t>Diluted Equity</t>
        </is>
      </c>
      <c r="J53" s="258" t="n"/>
      <c r="Q53" s="244" t="n"/>
    </row>
    <row r="54" outlineLevel="1">
      <c r="B54" s="50" t="n"/>
      <c r="D54" s="53" t="n"/>
      <c r="E54" s="67" t="n"/>
      <c r="F54" s="53" t="n"/>
      <c r="J54" s="259" t="n"/>
      <c r="Q54" s="244" t="n"/>
    </row>
    <row r="55" outlineLevel="1">
      <c r="B55" s="21" t="inlineStr">
        <is>
          <t>CEO</t>
        </is>
      </c>
      <c r="C55" s="211" t="n"/>
      <c r="D55" s="213" t="n"/>
      <c r="E55" s="260" t="n"/>
      <c r="F55" s="213" t="n"/>
      <c r="G55" s="211" t="n"/>
    </row>
    <row r="56" outlineLevel="1">
      <c r="B56" s="21" t="inlineStr">
        <is>
          <t>Sales Director</t>
        </is>
      </c>
      <c r="C56" s="211" t="n"/>
      <c r="D56" s="213" t="n"/>
      <c r="E56" s="260" t="n"/>
      <c r="F56" s="213" t="n"/>
      <c r="G56" s="211" t="n"/>
    </row>
    <row r="57" outlineLevel="1">
      <c r="B57" s="21" t="inlineStr">
        <is>
          <t>Operations Director</t>
        </is>
      </c>
      <c r="C57" s="211" t="n"/>
      <c r="D57" s="213" t="n"/>
      <c r="E57" s="260" t="n"/>
      <c r="F57" s="213" t="n"/>
      <c r="G57" s="211" t="n"/>
    </row>
    <row r="58" outlineLevel="1">
      <c r="B58" s="21" t="inlineStr">
        <is>
          <t xml:space="preserve">Employees </t>
        </is>
      </c>
      <c r="C58" s="211" t="n"/>
      <c r="D58" s="213" t="n"/>
      <c r="E58" s="260" t="n"/>
      <c r="F58" s="213" t="n"/>
      <c r="G58" s="211" t="n"/>
    </row>
    <row r="59" outlineLevel="1">
      <c r="B59" s="21" t="inlineStr">
        <is>
          <t>Existing Option holders</t>
        </is>
      </c>
      <c r="C59" s="211" t="n"/>
      <c r="D59" s="213" t="n"/>
      <c r="E59" s="260" t="n"/>
      <c r="F59" s="213" t="n"/>
      <c r="G59" s="211" t="n"/>
    </row>
    <row r="60" outlineLevel="1">
      <c r="B60" s="21" t="inlineStr">
        <is>
          <t>XPE</t>
        </is>
      </c>
      <c r="C60" s="211" t="n"/>
      <c r="D60" s="213" t="n"/>
      <c r="E60" s="260" t="n"/>
      <c r="F60" s="213" t="n"/>
      <c r="G60" s="211" t="n"/>
    </row>
    <row r="61" outlineLevel="1">
      <c r="B61" s="21" t="inlineStr">
        <is>
          <t>Sweet Equity</t>
        </is>
      </c>
      <c r="C61" s="211" t="n"/>
      <c r="D61" s="214" t="n"/>
      <c r="E61" s="261" t="n"/>
      <c r="F61" s="213" t="n"/>
      <c r="G61" s="211" t="n"/>
    </row>
    <row r="62" outlineLevel="1">
      <c r="C62" s="211" t="n"/>
      <c r="D62" s="215" t="n"/>
      <c r="E62" s="70" t="n"/>
      <c r="F62" s="215" t="n"/>
      <c r="G62" s="211" t="n"/>
    </row>
    <row r="63" outlineLevel="1">
      <c r="B63" s="43" t="inlineStr">
        <is>
          <t>Total</t>
        </is>
      </c>
      <c r="C63" s="212" t="n"/>
      <c r="D63" s="216" t="n"/>
      <c r="E63" s="262" t="n"/>
      <c r="F63" s="216" t="n"/>
      <c r="G63" s="212" t="n"/>
    </row>
    <row r="64" ht="3.95" customHeight="1"/>
    <row r="65" customFormat="1" s="20">
      <c r="A65" s="115" t="inlineStr">
        <is>
          <t>X</t>
        </is>
      </c>
      <c r="B65" s="19" t="inlineStr">
        <is>
          <t>Sources and Uses</t>
        </is>
      </c>
    </row>
    <row r="66" outlineLevel="1"/>
    <row r="67" outlineLevel="1">
      <c r="B67" s="19" t="inlineStr">
        <is>
          <t>Sources</t>
        </is>
      </c>
      <c r="C67" s="54" t="n"/>
      <c r="D67" s="54" t="n"/>
      <c r="F67" s="19" t="inlineStr">
        <is>
          <t>Uses</t>
        </is>
      </c>
      <c r="G67" s="54" t="n"/>
      <c r="H67" s="54" t="n"/>
      <c r="I67" s="54" t="n"/>
    </row>
    <row r="68" outlineLevel="1"/>
    <row r="69" outlineLevel="1">
      <c r="B69" s="161" t="inlineStr">
        <is>
          <t>Debt</t>
        </is>
      </c>
      <c r="D69" s="251" t="n"/>
      <c r="E69" s="251" t="n"/>
      <c r="F69" s="263" t="inlineStr">
        <is>
          <t>Completion Consideration</t>
        </is>
      </c>
      <c r="G69" s="251" t="n"/>
      <c r="I69" s="101" t="n"/>
    </row>
    <row r="70" outlineLevel="1">
      <c r="B70" s="61" t="inlineStr">
        <is>
          <t>TLA - 7-year Ammortising</t>
        </is>
      </c>
      <c r="D70" s="211" t="n"/>
      <c r="E70" s="217" t="n"/>
      <c r="I70" s="101" t="n"/>
    </row>
    <row r="71" outlineLevel="1">
      <c r="B71" s="61" t="inlineStr">
        <is>
          <t>TLB - 7-year Bullet</t>
        </is>
      </c>
      <c r="D71" s="211" t="n"/>
      <c r="E71" s="217" t="n"/>
      <c r="F71" s="263" t="inlineStr">
        <is>
          <t>Net Cash/ (debt) to be extracted</t>
        </is>
      </c>
      <c r="I71" s="101" t="n"/>
    </row>
    <row r="72" outlineLevel="1">
      <c r="B72" s="61" t="n"/>
      <c r="D72" s="211" t="n"/>
      <c r="E72" s="244" t="n"/>
      <c r="F72" s="263" t="n"/>
      <c r="I72" s="101" t="n"/>
    </row>
    <row r="73" outlineLevel="1">
      <c r="B73" s="161" t="inlineStr">
        <is>
          <t>Loan Notes</t>
        </is>
      </c>
      <c r="D73" s="211" t="n"/>
      <c r="E73" s="244" t="n"/>
      <c r="F73" s="263" t="inlineStr">
        <is>
          <t>Visnte Management Rollover</t>
        </is>
      </c>
      <c r="G73" s="251" t="n"/>
      <c r="I73" s="101" t="n"/>
    </row>
    <row r="74" outlineLevel="1">
      <c r="B74" s="61" t="inlineStr">
        <is>
          <t>Visante Management</t>
        </is>
      </c>
      <c r="D74" s="211" t="n"/>
      <c r="E74" s="217" t="n"/>
      <c r="F74" s="263" t="n"/>
      <c r="G74" s="251" t="n"/>
      <c r="I74" s="101" t="n"/>
    </row>
    <row r="75" outlineLevel="1">
      <c r="B75" s="61" t="inlineStr">
        <is>
          <t>Visante Employees</t>
        </is>
      </c>
      <c r="D75" s="211" t="n"/>
      <c r="E75" s="217" t="n"/>
      <c r="F75" s="263" t="inlineStr">
        <is>
          <t>Vistane Employees Rollover</t>
        </is>
      </c>
      <c r="I75" s="101" t="n"/>
    </row>
    <row r="76" outlineLevel="1">
      <c r="B76" s="61" t="inlineStr">
        <is>
          <t>XPE</t>
        </is>
      </c>
      <c r="D76" s="211" t="n"/>
      <c r="E76" s="217" t="n"/>
      <c r="F76" s="251" t="n"/>
      <c r="G76" s="251" t="n"/>
      <c r="I76" s="101" t="n"/>
    </row>
    <row r="77" outlineLevel="1">
      <c r="B77" s="61" t="n"/>
      <c r="D77" s="211" t="n"/>
      <c r="E77" s="251" t="n"/>
      <c r="F77" s="263" t="inlineStr">
        <is>
          <t>Buyside Fees and Expenses</t>
        </is>
      </c>
      <c r="G77" s="251" t="n"/>
      <c r="I77" s="264" t="n"/>
    </row>
    <row r="78" outlineLevel="1">
      <c r="B78" s="161" t="inlineStr">
        <is>
          <t>Equity (Pre-Dilution)</t>
        </is>
      </c>
      <c r="D78" s="211" t="n"/>
      <c r="E78" s="251" t="inlineStr">
        <is>
          <t>Percentage of Equity</t>
        </is>
      </c>
      <c r="F78" s="251" t="n"/>
      <c r="G78" s="251" t="n"/>
      <c r="I78" s="247" t="n"/>
    </row>
    <row r="79" outlineLevel="1">
      <c r="B79" s="61" t="inlineStr">
        <is>
          <t>Visante Management</t>
        </is>
      </c>
      <c r="D79" s="211" t="n"/>
      <c r="E79" s="217" t="n"/>
      <c r="F79" s="251" t="n"/>
      <c r="G79" s="251" t="n"/>
      <c r="I79" s="247" t="n"/>
    </row>
    <row r="80" outlineLevel="1">
      <c r="B80" s="61" t="inlineStr">
        <is>
          <t>Visante Employees</t>
        </is>
      </c>
      <c r="D80" s="211" t="n"/>
      <c r="E80" s="217" t="n"/>
      <c r="F80" s="251" t="n"/>
      <c r="G80" s="251" t="n"/>
      <c r="I80" s="247" t="n"/>
    </row>
    <row r="81" outlineLevel="1">
      <c r="B81" s="61" t="inlineStr">
        <is>
          <t>XPE</t>
        </is>
      </c>
      <c r="D81" s="211" t="n"/>
      <c r="E81" s="217" t="n"/>
      <c r="F81" s="251" t="n"/>
      <c r="G81" s="251" t="n"/>
      <c r="I81" s="247" t="n"/>
    </row>
    <row r="82" outlineLevel="1">
      <c r="B82" s="61" t="n"/>
      <c r="D82" s="211" t="n"/>
      <c r="E82" s="251" t="n"/>
      <c r="F82" s="251" t="n"/>
      <c r="G82" s="251" t="n"/>
      <c r="I82" s="247" t="n"/>
    </row>
    <row r="83" outlineLevel="1">
      <c r="B83" s="61" t="inlineStr">
        <is>
          <t>Net Cash/ (debt)</t>
        </is>
      </c>
      <c r="D83" s="211" t="n"/>
      <c r="F83" s="251" t="n"/>
      <c r="G83" s="251" t="n"/>
      <c r="I83" s="247" t="n"/>
    </row>
    <row r="84" outlineLevel="1">
      <c r="B84" s="61" t="inlineStr">
        <is>
          <t>Net Cash/(Debt) rolled into NewCo structure</t>
        </is>
      </c>
      <c r="D84" s="247" t="n"/>
      <c r="F84" s="251" t="n"/>
      <c r="G84" s="251" t="n"/>
      <c r="I84" s="247" t="n"/>
    </row>
    <row r="85" outlineLevel="1">
      <c r="B85" s="61" t="n"/>
      <c r="D85" s="247" t="n"/>
      <c r="F85" s="251" t="n"/>
      <c r="G85" s="251" t="n"/>
      <c r="I85" s="247" t="n"/>
    </row>
    <row r="86" outlineLevel="1">
      <c r="D86" s="247" t="n"/>
      <c r="E86" s="251" t="n"/>
      <c r="F86" s="251" t="n"/>
      <c r="G86" s="251" t="n"/>
      <c r="I86" s="247" t="n"/>
    </row>
    <row r="87" outlineLevel="1" customFormat="1" s="22">
      <c r="A87" s="116" t="n"/>
      <c r="B87" s="38" t="inlineStr">
        <is>
          <t>Total Sources</t>
        </is>
      </c>
      <c r="C87" s="38" t="n"/>
      <c r="D87" s="265" t="n"/>
      <c r="E87" s="266" t="n"/>
      <c r="F87" s="267" t="inlineStr">
        <is>
          <t>Total Uses</t>
        </is>
      </c>
      <c r="G87" s="267" t="n"/>
      <c r="H87" s="267" t="n"/>
      <c r="I87" s="265" t="n"/>
    </row>
    <row r="88" outlineLevel="1">
      <c r="D88" s="259" t="n"/>
    </row>
    <row r="89" outlineLevel="1">
      <c r="B89" s="164" t="n"/>
      <c r="C89" s="22" t="n"/>
      <c r="D89" s="259" t="n"/>
    </row>
    <row r="90" ht="3.95" customHeight="1"/>
    <row r="91" customFormat="1" s="20">
      <c r="A91" s="115" t="inlineStr">
        <is>
          <t>X</t>
        </is>
      </c>
      <c r="B91" s="19" t="inlineStr">
        <is>
          <t>Income &amp; Cash Flow Statement</t>
        </is>
      </c>
    </row>
    <row r="92" outlineLevel="1"/>
    <row r="93" outlineLevel="1">
      <c r="B93" s="78" t="inlineStr">
        <is>
          <t>Company Financials (£m)</t>
        </is>
      </c>
      <c r="C93" s="268" t="n">
        <v>45657</v>
      </c>
      <c r="D93" s="268" t="n">
        <v>46022</v>
      </c>
      <c r="E93" s="269" t="inlineStr">
        <is>
          <t>Q425F</t>
        </is>
      </c>
      <c r="F93" s="270" t="n">
        <v>46387</v>
      </c>
      <c r="G93" s="270" t="n">
        <v>46752</v>
      </c>
      <c r="H93" s="270" t="n">
        <v>47118</v>
      </c>
      <c r="I93" s="270" t="n">
        <v>47483</v>
      </c>
      <c r="J93" s="270" t="n">
        <v>47848</v>
      </c>
      <c r="K93" s="100" t="n"/>
    </row>
    <row r="94" outlineLevel="1" ht="14.25" customHeight="1">
      <c r="B94" s="73" t="n"/>
      <c r="C94" s="271" t="n"/>
      <c r="D94" s="271" t="n"/>
      <c r="E94" s="134" t="n"/>
      <c r="F94" s="271" t="n"/>
      <c r="G94" s="271" t="n"/>
      <c r="H94" s="271" t="n"/>
    </row>
    <row r="95" outlineLevel="1">
      <c r="B95" s="22" t="inlineStr">
        <is>
          <t>Revenue</t>
        </is>
      </c>
      <c r="C95" s="272" t="n"/>
      <c r="D95" s="272" t="n"/>
      <c r="E95" s="273" t="n"/>
      <c r="F95" s="272" t="n"/>
      <c r="G95" s="272" t="n"/>
      <c r="H95" s="272" t="n"/>
      <c r="I95" s="272" t="n"/>
      <c r="J95" s="274" t="n"/>
    </row>
    <row r="96" outlineLevel="1" ht="11.25" customFormat="1" customHeight="1" s="75">
      <c r="A96" s="117" t="n"/>
      <c r="B96" s="77" t="inlineStr">
        <is>
          <t>Growth - %</t>
        </is>
      </c>
      <c r="C96" s="79" t="n"/>
      <c r="D96" s="79" t="n"/>
      <c r="E96" s="136" t="n"/>
      <c r="F96" s="79" t="n"/>
      <c r="G96" s="79" t="n"/>
      <c r="H96" s="79" t="n"/>
      <c r="I96" s="79" t="n"/>
      <c r="J96" s="79" t="n"/>
      <c r="M96" s="80" t="n"/>
    </row>
    <row r="97" outlineLevel="1">
      <c r="B97" s="82" t="inlineStr">
        <is>
          <t>EBITDA</t>
        </is>
      </c>
      <c r="C97" s="275" t="n"/>
      <c r="D97" s="275" t="n"/>
      <c r="E97" s="273" t="n"/>
      <c r="F97" s="275" t="n"/>
      <c r="G97" s="275" t="n"/>
      <c r="H97" s="275" t="n"/>
      <c r="I97" s="275" t="n"/>
      <c r="J97" s="275" t="n"/>
    </row>
    <row r="98" outlineLevel="1" ht="11.25" customFormat="1" customHeight="1" s="75">
      <c r="A98" s="117" t="n"/>
      <c r="B98" s="77" t="inlineStr">
        <is>
          <t>Margin - %</t>
        </is>
      </c>
      <c r="C98" s="276" t="n"/>
      <c r="D98" s="276" t="n"/>
      <c r="E98" s="277" t="n"/>
      <c r="F98" s="276" t="n"/>
      <c r="G98" s="276" t="n"/>
      <c r="H98" s="276" t="n"/>
      <c r="I98" s="276" t="n"/>
      <c r="J98" s="276" t="n"/>
      <c r="M98" s="80" t="n"/>
    </row>
    <row r="99" outlineLevel="1">
      <c r="B99" s="61" t="inlineStr">
        <is>
          <t>Less: D&amp;A</t>
        </is>
      </c>
      <c r="C99" s="247" t="n"/>
      <c r="D99" s="247" t="n"/>
      <c r="E99" s="278" t="n"/>
      <c r="F99" s="247" t="n"/>
      <c r="G99" s="247" t="n"/>
      <c r="H99" s="247" t="n"/>
      <c r="I99" s="247" t="n"/>
      <c r="J99" s="247" t="n"/>
    </row>
    <row r="100" outlineLevel="1">
      <c r="B100" s="82" t="inlineStr">
        <is>
          <t>EBIT</t>
        </is>
      </c>
      <c r="C100" s="275" t="n"/>
      <c r="D100" s="275" t="n"/>
      <c r="E100" s="279" t="n"/>
      <c r="F100" s="275" t="n"/>
      <c r="G100" s="275" t="n"/>
      <c r="H100" s="275" t="n"/>
      <c r="I100" s="275" t="n"/>
      <c r="J100" s="275" t="n"/>
    </row>
    <row r="101" outlineLevel="1">
      <c r="B101" s="61" t="inlineStr">
        <is>
          <t>Less: Interest Expense</t>
        </is>
      </c>
      <c r="C101" s="247" t="n"/>
      <c r="D101" s="247" t="n"/>
      <c r="E101" s="278" t="n"/>
      <c r="F101" s="247" t="n"/>
      <c r="G101" s="247" t="n"/>
      <c r="H101" s="247" t="n"/>
      <c r="I101" s="247" t="n"/>
      <c r="J101" s="247" t="n"/>
    </row>
    <row r="102" outlineLevel="1">
      <c r="B102" s="82" t="inlineStr">
        <is>
          <t>PBT</t>
        </is>
      </c>
      <c r="C102" s="275" t="n"/>
      <c r="D102" s="275" t="n"/>
      <c r="E102" s="279" t="n"/>
      <c r="F102" s="275" t="n"/>
      <c r="G102" s="275" t="n"/>
      <c r="H102" s="275" t="n"/>
      <c r="I102" s="275" t="n"/>
      <c r="J102" s="275" t="n"/>
    </row>
    <row r="103" outlineLevel="1">
      <c r="B103" s="61" t="inlineStr">
        <is>
          <t>Less: Taxes</t>
        </is>
      </c>
      <c r="C103" s="247" t="n"/>
      <c r="D103" s="247" t="n"/>
      <c r="E103" s="278" t="n"/>
      <c r="F103" s="247" t="n"/>
      <c r="G103" s="247" t="n"/>
      <c r="H103" s="247" t="n"/>
      <c r="I103" s="247" t="n"/>
      <c r="J103" s="247" t="n"/>
    </row>
    <row r="104" outlineLevel="1">
      <c r="B104" s="82" t="inlineStr">
        <is>
          <t>Net Income</t>
        </is>
      </c>
      <c r="C104" s="275" t="n"/>
      <c r="D104" s="275" t="n"/>
      <c r="E104" s="279" t="n"/>
      <c r="F104" s="275" t="n"/>
      <c r="G104" s="275" t="n"/>
      <c r="H104" s="275" t="n"/>
      <c r="I104" s="275" t="n"/>
      <c r="J104" s="275" t="n"/>
    </row>
    <row r="105" outlineLevel="1">
      <c r="C105" s="247" t="n"/>
      <c r="D105" s="247" t="n"/>
      <c r="E105" s="278" t="n"/>
      <c r="F105" s="247" t="n"/>
      <c r="G105" s="247" t="n"/>
      <c r="H105" s="247" t="n"/>
      <c r="I105" s="247" t="n"/>
      <c r="J105" s="247" t="n"/>
    </row>
    <row r="106" outlineLevel="1">
      <c r="B106" s="22" t="inlineStr">
        <is>
          <t>Net Income</t>
        </is>
      </c>
      <c r="C106" s="280" t="n"/>
      <c r="D106" s="280" t="n"/>
      <c r="E106" s="273" t="n"/>
      <c r="F106" s="280" t="n"/>
      <c r="G106" s="280" t="n"/>
      <c r="H106" s="280" t="n"/>
      <c r="I106" s="280" t="n"/>
      <c r="J106" s="280" t="n"/>
    </row>
    <row r="107" outlineLevel="1">
      <c r="B107" s="61" t="inlineStr">
        <is>
          <t>Plus: D&amp;A</t>
        </is>
      </c>
      <c r="C107" s="247" t="n"/>
      <c r="D107" s="247" t="n"/>
      <c r="E107" s="278" t="n"/>
      <c r="F107" s="247" t="n"/>
      <c r="G107" s="247" t="n"/>
      <c r="H107" s="247" t="n"/>
      <c r="I107" s="247" t="n"/>
      <c r="J107" s="247" t="n"/>
    </row>
    <row r="108" outlineLevel="1">
      <c r="B108" s="61" t="inlineStr">
        <is>
          <t>Plus: PIK Interest</t>
        </is>
      </c>
      <c r="C108" s="247" t="n"/>
      <c r="D108" s="247" t="n"/>
      <c r="E108" s="278" t="n"/>
      <c r="F108" s="247" t="n"/>
      <c r="G108" s="247" t="n"/>
      <c r="H108" s="247" t="n"/>
      <c r="I108" s="247" t="n"/>
      <c r="J108" s="247" t="n"/>
    </row>
    <row r="109" outlineLevel="1">
      <c r="B109" s="61" t="inlineStr">
        <is>
          <t>Less: CapEx</t>
        </is>
      </c>
      <c r="C109" s="247" t="n"/>
      <c r="D109" s="247" t="n"/>
      <c r="E109" s="278" t="n"/>
      <c r="F109" s="247" t="n"/>
      <c r="G109" s="247" t="n"/>
      <c r="H109" s="247" t="n"/>
      <c r="I109" s="247" t="n"/>
      <c r="J109" s="247" t="n"/>
    </row>
    <row r="110" outlineLevel="1">
      <c r="B110" s="61" t="inlineStr">
        <is>
          <t>Less: Increase in NWC</t>
        </is>
      </c>
      <c r="C110" s="247" t="n"/>
      <c r="D110" s="247" t="n"/>
      <c r="E110" s="278" t="n"/>
      <c r="F110" s="247" t="n"/>
      <c r="G110" s="247" t="n"/>
      <c r="H110" s="247" t="n"/>
      <c r="I110" s="247" t="n"/>
      <c r="J110" s="247" t="n"/>
    </row>
    <row r="111" outlineLevel="1">
      <c r="B111" s="61" t="inlineStr">
        <is>
          <t>Less: Debt Paydown</t>
        </is>
      </c>
      <c r="C111" s="247" t="n"/>
      <c r="D111" s="247" t="n"/>
      <c r="E111" s="278" t="n"/>
      <c r="F111" s="247" t="n"/>
      <c r="G111" s="247" t="n"/>
      <c r="H111" s="247" t="n"/>
      <c r="I111" s="247" t="n"/>
      <c r="J111" s="247" t="n"/>
    </row>
    <row r="112" outlineLevel="1">
      <c r="B112" s="82" t="inlineStr">
        <is>
          <t>FCFE/Levered Free Cash Flow</t>
        </is>
      </c>
      <c r="C112" s="275" t="n"/>
      <c r="D112" s="275" t="n"/>
      <c r="E112" s="279" t="n"/>
      <c r="F112" s="275" t="n"/>
      <c r="G112" s="275" t="n"/>
      <c r="H112" s="275" t="n"/>
      <c r="I112" s="275" t="n"/>
      <c r="J112" s="275" t="n"/>
    </row>
    <row r="113" outlineLevel="1">
      <c r="B113" s="61" t="inlineStr">
        <is>
          <t>Beginning Cash Balance</t>
        </is>
      </c>
      <c r="C113" s="247" t="n"/>
      <c r="D113" s="247" t="n"/>
      <c r="E113" s="278" t="n"/>
      <c r="F113" s="247" t="n"/>
      <c r="G113" s="247" t="n"/>
      <c r="H113" s="247" t="n"/>
      <c r="I113" s="247" t="n"/>
      <c r="J113" s="247" t="n"/>
    </row>
    <row r="114" outlineLevel="1">
      <c r="B114" s="82" t="inlineStr">
        <is>
          <t>Ending Cash Balance</t>
        </is>
      </c>
      <c r="C114" s="275" t="n"/>
      <c r="D114" s="275" t="n"/>
      <c r="E114" s="279" t="n"/>
      <c r="F114" s="275" t="n"/>
      <c r="G114" s="275" t="n"/>
      <c r="H114" s="275" t="n"/>
      <c r="I114" s="275" t="n"/>
      <c r="J114" s="275" t="n"/>
    </row>
    <row r="115" ht="3.95" customHeight="1">
      <c r="C115" s="247" t="n"/>
      <c r="D115" s="247" t="n"/>
      <c r="E115" s="247" t="n"/>
      <c r="F115" s="247" t="n"/>
      <c r="G115" s="247" t="n"/>
      <c r="H115" s="247" t="n"/>
    </row>
    <row r="116" customFormat="1" s="20">
      <c r="A116" s="115" t="inlineStr">
        <is>
          <t>X</t>
        </is>
      </c>
      <c r="B116" s="19" t="inlineStr">
        <is>
          <t>Debt &amp; Interest Schedule</t>
        </is>
      </c>
    </row>
    <row r="117" outlineLevel="1"/>
    <row r="118" outlineLevel="1">
      <c r="B118" s="268" t="n"/>
      <c r="C118" s="268" t="n"/>
      <c r="D118" s="281" t="inlineStr">
        <is>
          <t>Completion</t>
        </is>
      </c>
      <c r="E118" s="268" t="inlineStr">
        <is>
          <t>Q425F</t>
        </is>
      </c>
      <c r="F118" s="270" t="n">
        <v>46387</v>
      </c>
      <c r="G118" s="270" t="n">
        <v>46752</v>
      </c>
      <c r="H118" s="270" t="n">
        <v>47118</v>
      </c>
      <c r="I118" s="270" t="n">
        <v>47483</v>
      </c>
      <c r="J118" s="270" t="n">
        <v>47848</v>
      </c>
    </row>
    <row r="119" outlineLevel="1">
      <c r="D119" s="142" t="n"/>
    </row>
    <row r="120" outlineLevel="1">
      <c r="B120" s="22" t="inlineStr">
        <is>
          <t>TLA - 7-year Ammortising</t>
        </is>
      </c>
      <c r="D120" s="142" t="n"/>
    </row>
    <row r="121" outlineLevel="1">
      <c r="B121" s="86" t="inlineStr">
        <is>
          <t>B/f Balance</t>
        </is>
      </c>
      <c r="C121" s="282" t="n"/>
      <c r="D121" s="283" t="n"/>
      <c r="E121" s="220" t="n"/>
      <c r="F121" s="220" t="n"/>
      <c r="G121" s="220" t="n"/>
      <c r="H121" s="220" t="n"/>
      <c r="I121" s="220" t="n"/>
      <c r="J121" s="220" t="n"/>
    </row>
    <row r="122" outlineLevel="1">
      <c r="B122" s="61" t="inlineStr">
        <is>
          <t>Issuance/ (repayment)</t>
        </is>
      </c>
      <c r="C122" s="247" t="n"/>
      <c r="D122" s="284" t="n"/>
      <c r="E122" s="247" t="n"/>
      <c r="F122" s="247" t="n"/>
      <c r="G122" s="247" t="n"/>
      <c r="H122" s="247" t="n"/>
      <c r="I122" s="247" t="n"/>
      <c r="J122" s="247" t="n"/>
    </row>
    <row r="123" outlineLevel="1">
      <c r="B123" s="102" t="inlineStr">
        <is>
          <t>C/f Balance</t>
        </is>
      </c>
      <c r="C123" s="275" t="n"/>
      <c r="D123" s="285" t="n"/>
      <c r="E123" s="219" t="n"/>
      <c r="F123" s="219" t="n"/>
      <c r="G123" s="219" t="n"/>
      <c r="H123" s="219" t="n"/>
      <c r="I123" s="219" t="n"/>
      <c r="J123" s="219" t="n"/>
    </row>
    <row r="124" outlineLevel="1">
      <c r="B124" s="61" t="inlineStr">
        <is>
          <t>Interest</t>
        </is>
      </c>
      <c r="C124" s="247" t="n"/>
      <c r="D124" s="284" t="n"/>
      <c r="E124" s="211" t="n"/>
      <c r="F124" s="211" t="n"/>
      <c r="G124" s="211" t="n"/>
      <c r="H124" s="211" t="n"/>
      <c r="I124" s="211" t="n"/>
      <c r="J124" s="211" t="n"/>
    </row>
    <row r="125" outlineLevel="1">
      <c r="D125" s="142" t="n"/>
    </row>
    <row r="126" outlineLevel="1">
      <c r="B126" s="22" t="inlineStr">
        <is>
          <t>TLB - 7-year Bullet</t>
        </is>
      </c>
      <c r="D126" s="142" t="n"/>
    </row>
    <row r="127" outlineLevel="1">
      <c r="B127" s="86" t="inlineStr">
        <is>
          <t>B/f Balance</t>
        </is>
      </c>
      <c r="C127" s="282" t="n"/>
      <c r="D127" s="283" t="n"/>
      <c r="E127" s="282" t="n"/>
      <c r="F127" s="282" t="n"/>
      <c r="G127" s="282" t="n"/>
      <c r="H127" s="282" t="n"/>
      <c r="I127" s="282" t="n"/>
      <c r="J127" s="282" t="n"/>
    </row>
    <row r="128" outlineLevel="1">
      <c r="B128" s="61" t="inlineStr">
        <is>
          <t>Issuance/ (repayment)</t>
        </is>
      </c>
      <c r="C128" s="247" t="n"/>
      <c r="D128" s="284" t="n"/>
      <c r="E128" s="246" t="n"/>
      <c r="F128" s="246" t="n"/>
      <c r="G128" s="246" t="n"/>
      <c r="H128" s="246" t="n"/>
      <c r="I128" s="246" t="n"/>
      <c r="J128" s="246" t="n"/>
    </row>
    <row r="129" outlineLevel="1">
      <c r="B129" s="102" t="inlineStr">
        <is>
          <t>C/f Balance</t>
        </is>
      </c>
      <c r="C129" s="275" t="n"/>
      <c r="D129" s="285" t="n"/>
      <c r="E129" s="275" t="n"/>
      <c r="F129" s="275" t="n"/>
      <c r="G129" s="275" t="n"/>
      <c r="H129" s="275" t="n"/>
      <c r="I129" s="275" t="n"/>
      <c r="J129" s="275" t="n"/>
    </row>
    <row r="130" outlineLevel="1">
      <c r="B130" s="61" t="inlineStr">
        <is>
          <t>Interest</t>
        </is>
      </c>
      <c r="D130" s="142" t="n"/>
      <c r="E130" s="247" t="n"/>
      <c r="F130" s="247" t="n"/>
      <c r="G130" s="247" t="n"/>
      <c r="H130" s="247" t="n"/>
      <c r="I130" s="247" t="n"/>
      <c r="J130" s="247" t="n"/>
    </row>
    <row r="131" outlineLevel="1">
      <c r="D131" s="142" t="n"/>
    </row>
    <row r="132" outlineLevel="1">
      <c r="B132" s="22" t="inlineStr">
        <is>
          <t>Loan Notes</t>
        </is>
      </c>
      <c r="D132" s="142" t="n"/>
    </row>
    <row r="133" outlineLevel="1">
      <c r="B133" s="86" t="inlineStr">
        <is>
          <t>B/f Balance</t>
        </is>
      </c>
      <c r="C133" s="282" t="n"/>
      <c r="D133" s="283" t="n"/>
      <c r="E133" s="282" t="n"/>
      <c r="F133" s="282" t="n"/>
      <c r="G133" s="282" t="n"/>
      <c r="H133" s="282" t="n"/>
      <c r="I133" s="282" t="n"/>
      <c r="J133" s="282" t="n"/>
    </row>
    <row r="134" outlineLevel="1">
      <c r="B134" s="61" t="inlineStr">
        <is>
          <t>Issuance/ (repayment)</t>
        </is>
      </c>
      <c r="C134" s="247" t="n"/>
      <c r="D134" s="284" t="n"/>
      <c r="E134" s="246" t="n"/>
      <c r="F134" s="246" t="n"/>
      <c r="G134" s="246" t="n"/>
      <c r="H134" s="246" t="n"/>
      <c r="I134" s="246" t="n"/>
      <c r="J134" s="246" t="n"/>
    </row>
    <row r="135" outlineLevel="1">
      <c r="B135" s="61" t="inlineStr">
        <is>
          <t>PIK Interest (Accruing)</t>
        </is>
      </c>
      <c r="C135" s="246" t="n"/>
      <c r="D135" s="286" t="n"/>
      <c r="E135" s="287" t="n"/>
      <c r="F135" s="287" t="n"/>
      <c r="G135" s="287" t="n"/>
      <c r="H135" s="287" t="n"/>
      <c r="I135" s="287" t="n"/>
      <c r="J135" s="287" t="n"/>
    </row>
    <row r="136" outlineLevel="1">
      <c r="B136" s="102" t="inlineStr">
        <is>
          <t>C/f Balance</t>
        </is>
      </c>
      <c r="C136" s="275" t="n"/>
      <c r="D136" s="285" t="n"/>
      <c r="E136" s="275" t="n"/>
      <c r="F136" s="275" t="n"/>
      <c r="G136" s="275" t="n"/>
      <c r="H136" s="275" t="n"/>
      <c r="I136" s="275" t="n"/>
      <c r="J136" s="275" t="n"/>
    </row>
    <row r="137" outlineLevel="1" ht="14.25" customHeight="1">
      <c r="B137" s="22" t="n"/>
      <c r="C137" s="247" t="n"/>
      <c r="D137" s="247" t="n"/>
      <c r="E137" s="247" t="n"/>
      <c r="F137" s="247" t="n"/>
      <c r="G137" s="247" t="n"/>
      <c r="H137" s="247" t="n"/>
    </row>
    <row r="138" outlineLevel="1">
      <c r="B138" s="268" t="n"/>
      <c r="C138" s="268" t="n"/>
      <c r="D138" s="268" t="inlineStr">
        <is>
          <t>Completion</t>
        </is>
      </c>
      <c r="E138" s="268" t="inlineStr">
        <is>
          <t>Q425F</t>
        </is>
      </c>
      <c r="F138" s="270" t="n">
        <v>46387</v>
      </c>
      <c r="G138" s="270" t="n">
        <v>46752</v>
      </c>
      <c r="H138" s="270" t="n">
        <v>47118</v>
      </c>
      <c r="I138" s="270" t="n">
        <v>47483</v>
      </c>
      <c r="J138" s="270" t="n">
        <v>47848</v>
      </c>
    </row>
    <row r="139" outlineLevel="1">
      <c r="B139" s="288" t="n"/>
      <c r="C139" s="288" t="n"/>
      <c r="D139" s="288" t="n"/>
      <c r="E139" s="288" t="n"/>
      <c r="F139" s="289" t="n"/>
      <c r="G139" s="289" t="n"/>
      <c r="H139" s="289" t="n"/>
      <c r="I139" s="289" t="n"/>
      <c r="J139" s="289" t="n"/>
    </row>
    <row r="140" outlineLevel="1">
      <c r="B140" s="61" t="inlineStr">
        <is>
          <t>Total Interest Expense</t>
        </is>
      </c>
      <c r="C140" s="247" t="n"/>
      <c r="D140" s="247" t="n"/>
      <c r="E140" s="247" t="n"/>
      <c r="F140" s="247" t="n"/>
      <c r="G140" s="247" t="n"/>
      <c r="H140" s="247" t="n"/>
      <c r="I140" s="247" t="n"/>
      <c r="J140" s="247" t="n"/>
    </row>
    <row r="141" outlineLevel="1">
      <c r="B141" s="61" t="inlineStr">
        <is>
          <t>Total Debt</t>
        </is>
      </c>
      <c r="C141" s="247" t="n"/>
      <c r="D141" s="247" t="n"/>
      <c r="E141" s="247" t="n"/>
      <c r="F141" s="247" t="n"/>
      <c r="G141" s="247" t="n"/>
      <c r="H141" s="247" t="n"/>
      <c r="I141" s="247" t="n"/>
      <c r="J141" s="247" t="n"/>
    </row>
    <row r="142" ht="3.95" customHeight="1"/>
    <row r="143" customFormat="1" s="20">
      <c r="A143" s="115" t="inlineStr">
        <is>
          <t>X</t>
        </is>
      </c>
      <c r="B143" s="19" t="inlineStr">
        <is>
          <t>Returns Schedule</t>
        </is>
      </c>
    </row>
    <row r="144" outlineLevel="1"/>
    <row r="145" outlineLevel="1">
      <c r="B145" s="268" t="n"/>
      <c r="C145" s="268" t="n"/>
      <c r="D145" s="281" t="n">
        <v>45930</v>
      </c>
      <c r="E145" s="270" t="n">
        <v>46387</v>
      </c>
      <c r="F145" s="270" t="n">
        <v>46752</v>
      </c>
      <c r="G145" s="270" t="n">
        <v>47118</v>
      </c>
      <c r="H145" s="270" t="n">
        <v>47483</v>
      </c>
      <c r="I145" s="270" t="n">
        <v>47848</v>
      </c>
    </row>
    <row r="146" outlineLevel="1">
      <c r="D146" s="142" t="n"/>
    </row>
    <row r="147" outlineLevel="1">
      <c r="B147" s="21" t="inlineStr">
        <is>
          <t>EBITDA</t>
        </is>
      </c>
      <c r="C147" s="290" t="n"/>
      <c r="D147" s="142" t="n"/>
      <c r="E147" s="290" t="n"/>
      <c r="F147" s="290" t="n"/>
      <c r="G147" s="290" t="n"/>
      <c r="H147" s="290" t="n"/>
      <c r="I147" s="290" t="n"/>
    </row>
    <row r="148" outlineLevel="1">
      <c r="B148" s="21" t="inlineStr">
        <is>
          <t>Exit Multiple (same as Entry)</t>
        </is>
      </c>
      <c r="D148" s="142" t="n"/>
      <c r="E148" s="236" t="n"/>
      <c r="F148" s="236" t="n"/>
      <c r="G148" s="236" t="n"/>
      <c r="H148" s="236" t="n"/>
      <c r="I148" s="236" t="n"/>
    </row>
    <row r="149" outlineLevel="1">
      <c r="B149" s="82" t="inlineStr">
        <is>
          <t xml:space="preserve">Enterprise Value </t>
        </is>
      </c>
      <c r="C149" s="82" t="n"/>
      <c r="D149" s="148" t="n"/>
      <c r="E149" s="291" t="n"/>
      <c r="F149" s="291" t="n"/>
      <c r="G149" s="291" t="n"/>
      <c r="H149" s="291" t="n"/>
      <c r="I149" s="291" t="n"/>
    </row>
    <row r="150" outlineLevel="1">
      <c r="B150" s="61" t="inlineStr">
        <is>
          <t>Plus: Cash</t>
        </is>
      </c>
      <c r="D150" s="142" t="n"/>
      <c r="E150" s="247" t="n"/>
      <c r="F150" s="247" t="n"/>
      <c r="G150" s="247" t="n"/>
      <c r="H150" s="247" t="n"/>
      <c r="I150" s="247" t="n"/>
    </row>
    <row r="151" outlineLevel="1">
      <c r="B151" s="61" t="inlineStr">
        <is>
          <t>Less: Bank Debt</t>
        </is>
      </c>
      <c r="D151" s="142" t="n"/>
      <c r="E151" s="247" t="n"/>
      <c r="F151" s="247" t="n"/>
      <c r="G151" s="247" t="n"/>
      <c r="H151" s="247" t="n"/>
      <c r="I151" s="247" t="n"/>
    </row>
    <row r="152" outlineLevel="1">
      <c r="B152" s="61" t="inlineStr">
        <is>
          <t>Less: Loan Notes</t>
        </is>
      </c>
      <c r="D152" s="142" t="n"/>
      <c r="E152" s="247" t="n"/>
      <c r="F152" s="247" t="n"/>
      <c r="G152" s="247" t="n"/>
      <c r="H152" s="247" t="n"/>
      <c r="I152" s="247" t="n"/>
    </row>
    <row r="153" outlineLevel="1">
      <c r="B153" s="82" t="inlineStr">
        <is>
          <t xml:space="preserve">Equity Value </t>
        </is>
      </c>
      <c r="C153" s="82" t="n"/>
      <c r="D153" s="148" t="n"/>
      <c r="E153" s="291" t="n"/>
      <c r="F153" s="291" t="n"/>
      <c r="G153" s="291" t="n"/>
      <c r="H153" s="291" t="n"/>
      <c r="I153" s="291" t="n"/>
    </row>
    <row r="154" outlineLevel="1">
      <c r="B154" s="61" t="inlineStr">
        <is>
          <t>Visante Management %</t>
        </is>
      </c>
      <c r="D154" s="142" t="n"/>
      <c r="E154" s="244" t="n"/>
      <c r="F154" s="244" t="n"/>
      <c r="G154" s="244" t="n"/>
      <c r="H154" s="244" t="n"/>
      <c r="I154" s="244" t="n"/>
    </row>
    <row r="155" outlineLevel="1">
      <c r="B155" s="61" t="inlineStr">
        <is>
          <t>Visante Employees %</t>
        </is>
      </c>
      <c r="D155" s="142" t="n"/>
      <c r="E155" s="244" t="n"/>
      <c r="F155" s="244" t="n"/>
      <c r="G155" s="244" t="n"/>
      <c r="H155" s="244" t="n"/>
      <c r="I155" s="244" t="n"/>
    </row>
    <row r="156" outlineLevel="1">
      <c r="B156" s="61" t="inlineStr">
        <is>
          <t>XPE %</t>
        </is>
      </c>
      <c r="D156" s="142" t="n"/>
      <c r="E156" s="244" t="n"/>
      <c r="F156" s="244" t="n"/>
      <c r="G156" s="244" t="n"/>
      <c r="H156" s="244" t="n"/>
      <c r="I156" s="244" t="n"/>
    </row>
    <row r="157" outlineLevel="1" customFormat="1" s="199">
      <c r="A157" s="195" t="n"/>
      <c r="B157" s="196" t="inlineStr">
        <is>
          <t xml:space="preserve">Visante Management </t>
        </is>
      </c>
      <c r="C157" s="196" t="n"/>
      <c r="D157" s="197" t="n"/>
      <c r="E157" s="292" t="n"/>
      <c r="F157" s="292" t="n"/>
      <c r="G157" s="292" t="n"/>
      <c r="H157" s="292" t="n"/>
      <c r="I157" s="292" t="n"/>
      <c r="J157" s="199" t="inlineStr">
        <is>
          <t xml:space="preserve"> </t>
        </is>
      </c>
    </row>
    <row r="158" outlineLevel="1" customFormat="1" s="199">
      <c r="A158" s="195" t="n"/>
      <c r="B158" s="196" t="inlineStr">
        <is>
          <t>XPE</t>
        </is>
      </c>
      <c r="C158" s="196" t="n"/>
      <c r="D158" s="197" t="n"/>
      <c r="E158" s="292" t="n"/>
      <c r="F158" s="292" t="n"/>
      <c r="G158" s="292" t="n"/>
      <c r="H158" s="292" t="n"/>
      <c r="I158" s="292" t="n"/>
    </row>
    <row r="159" outlineLevel="1" customFormat="1" s="199">
      <c r="A159" s="195" t="n"/>
      <c r="B159" s="196" t="inlineStr">
        <is>
          <t xml:space="preserve">Visante Employees </t>
        </is>
      </c>
      <c r="C159" s="196" t="n"/>
      <c r="D159" s="197" t="n"/>
      <c r="E159" s="292" t="n"/>
      <c r="F159" s="292" t="n"/>
      <c r="G159" s="292" t="n"/>
      <c r="H159" s="292" t="n"/>
      <c r="I159" s="292" t="n"/>
    </row>
    <row r="160" outlineLevel="1">
      <c r="D160" s="142" t="n"/>
    </row>
    <row r="161" outlineLevel="1">
      <c r="B161" s="82" t="inlineStr">
        <is>
          <t>Visante Management Returns</t>
        </is>
      </c>
      <c r="C161" s="82" t="n"/>
      <c r="D161" s="152" t="n"/>
      <c r="E161" s="82" t="n"/>
      <c r="F161" s="82" t="n"/>
      <c r="G161" s="82" t="n"/>
      <c r="H161" s="82" t="n"/>
      <c r="I161" s="82" t="n"/>
    </row>
    <row r="162" outlineLevel="1">
      <c r="B162" s="61" t="inlineStr">
        <is>
          <t>Equity</t>
        </is>
      </c>
      <c r="D162" s="153" t="n"/>
      <c r="E162" s="290" t="n"/>
      <c r="F162" s="290" t="n"/>
      <c r="G162" s="290" t="n"/>
      <c r="H162" s="290" t="n"/>
      <c r="I162" s="290" t="n"/>
    </row>
    <row r="163" outlineLevel="1">
      <c r="B163" s="61" t="inlineStr">
        <is>
          <t>Loan Notes</t>
        </is>
      </c>
      <c r="D163" s="154" t="n"/>
      <c r="E163" s="290" t="n"/>
      <c r="F163" s="290" t="n"/>
      <c r="G163" s="290" t="n"/>
      <c r="H163" s="290" t="n"/>
      <c r="I163" s="290" t="n"/>
    </row>
    <row r="164" outlineLevel="1">
      <c r="B164" s="99" t="inlineStr">
        <is>
          <t>Total - Visante Management</t>
        </is>
      </c>
      <c r="C164" s="99" t="n"/>
      <c r="D164" s="152" t="n"/>
      <c r="E164" s="293" t="n"/>
      <c r="F164" s="293" t="n"/>
      <c r="G164" s="293" t="n"/>
      <c r="H164" s="293" t="n"/>
      <c r="I164" s="293" t="n"/>
    </row>
    <row r="165" outlineLevel="1">
      <c r="D165" s="142" t="n"/>
    </row>
    <row r="166" outlineLevel="1" ht="11.25" customHeight="1">
      <c r="B166" s="21" t="inlineStr">
        <is>
          <t>Exit Year 2026</t>
        </is>
      </c>
      <c r="D166" s="284" t="n"/>
      <c r="E166" s="247" t="n"/>
      <c r="F166" s="246" t="n"/>
      <c r="G166" s="246" t="n"/>
      <c r="H166" s="246" t="n"/>
      <c r="I166" s="246" t="n"/>
    </row>
    <row r="167" outlineLevel="1">
      <c r="B167" s="21" t="inlineStr">
        <is>
          <t>Exit Year 2027</t>
        </is>
      </c>
      <c r="D167" s="284" t="n"/>
      <c r="E167" s="246" t="n"/>
      <c r="F167" s="247" t="n"/>
      <c r="G167" s="246" t="n"/>
      <c r="H167" s="246" t="n"/>
      <c r="I167" s="246" t="n"/>
    </row>
    <row r="168" outlineLevel="1">
      <c r="B168" s="21" t="inlineStr">
        <is>
          <t>Exit Year 2028</t>
        </is>
      </c>
      <c r="D168" s="284" t="n"/>
      <c r="E168" s="246" t="n"/>
      <c r="F168" s="246" t="n"/>
      <c r="G168" s="247" t="n"/>
      <c r="H168" s="246" t="n"/>
      <c r="I168" s="246" t="n"/>
    </row>
    <row r="169" outlineLevel="1">
      <c r="B169" s="21" t="inlineStr">
        <is>
          <t>Exit Year 2029</t>
        </is>
      </c>
      <c r="D169" s="284" t="n"/>
      <c r="E169" s="246" t="n"/>
      <c r="F169" s="246" t="n"/>
      <c r="G169" s="246" t="n"/>
      <c r="H169" s="247" t="n"/>
      <c r="I169" s="247" t="n"/>
    </row>
    <row r="170" outlineLevel="1">
      <c r="B170" s="21" t="inlineStr">
        <is>
          <t>Exit Year 2030</t>
        </is>
      </c>
      <c r="D170" s="284" t="n"/>
      <c r="E170" s="246" t="n"/>
      <c r="F170" s="246" t="n"/>
      <c r="G170" s="246" t="n"/>
      <c r="H170" s="246" t="n"/>
      <c r="I170" s="247" t="n"/>
    </row>
    <row r="171" outlineLevel="1">
      <c r="D171" s="142" t="n"/>
    </row>
    <row r="172" outlineLevel="1">
      <c r="B172" s="106" t="inlineStr">
        <is>
          <t>IRR</t>
        </is>
      </c>
      <c r="C172" s="106" t="n"/>
      <c r="D172" s="150" t="n"/>
      <c r="E172" s="294" t="n"/>
      <c r="F172" s="294" t="n"/>
      <c r="G172" s="294" t="n"/>
      <c r="H172" s="294" t="n"/>
      <c r="I172" s="294" t="n"/>
    </row>
    <row r="173" outlineLevel="1">
      <c r="B173" s="108" t="inlineStr">
        <is>
          <t>MOIC</t>
        </is>
      </c>
      <c r="C173" s="108" t="n"/>
      <c r="D173" s="151" t="n"/>
      <c r="E173" s="295" t="n"/>
      <c r="F173" s="295" t="n"/>
      <c r="G173" s="295" t="n"/>
      <c r="H173" s="295" t="n"/>
      <c r="I173" s="295" t="n"/>
    </row>
    <row r="174" outlineLevel="1">
      <c r="B174" s="130" t="inlineStr">
        <is>
          <t>Envy Ratio</t>
        </is>
      </c>
      <c r="C174" s="130" t="n"/>
      <c r="D174" s="171" t="n"/>
      <c r="E174" s="296" t="n"/>
      <c r="F174" s="296" t="n"/>
      <c r="G174" s="296" t="n"/>
      <c r="H174" s="296" t="n"/>
      <c r="I174" s="296" t="n"/>
    </row>
    <row r="175" outlineLevel="1">
      <c r="B175" s="130" t="n"/>
      <c r="C175" s="130" t="n"/>
      <c r="D175" s="194" t="n"/>
      <c r="E175" s="296" t="n"/>
      <c r="F175" s="296" t="n"/>
      <c r="G175" s="296" t="n"/>
      <c r="H175" s="296" t="n"/>
      <c r="I175" s="296" t="n"/>
    </row>
    <row r="176" outlineLevel="1">
      <c r="B176" s="82" t="inlineStr">
        <is>
          <t>XPE Rturns</t>
        </is>
      </c>
      <c r="C176" s="82" t="n"/>
      <c r="D176" s="148" t="n"/>
      <c r="E176" s="82" t="n"/>
      <c r="F176" s="82" t="n"/>
      <c r="G176" s="82" t="n"/>
      <c r="H176" s="82" t="n"/>
    </row>
    <row r="177" outlineLevel="1">
      <c r="B177" s="61" t="inlineStr">
        <is>
          <t>Equity</t>
        </is>
      </c>
      <c r="D177" s="142" t="n"/>
      <c r="E177" s="290" t="n"/>
      <c r="F177" s="290" t="n"/>
      <c r="G177" s="290" t="n"/>
      <c r="H177" s="290" t="n"/>
      <c r="I177" s="297" t="n"/>
    </row>
    <row r="178" outlineLevel="1">
      <c r="B178" s="61" t="inlineStr">
        <is>
          <t>Loan Notes</t>
        </is>
      </c>
      <c r="D178" s="142" t="n"/>
      <c r="E178" s="290" t="n"/>
      <c r="F178" s="290" t="n"/>
      <c r="G178" s="290" t="n"/>
      <c r="H178" s="290" t="n"/>
      <c r="I178" s="290" t="n"/>
    </row>
    <row r="179" outlineLevel="1">
      <c r="B179" s="99" t="inlineStr">
        <is>
          <t>Total - Visante Management</t>
        </is>
      </c>
      <c r="C179" s="99" t="n"/>
      <c r="D179" s="149" t="n"/>
      <c r="E179" s="293" t="n"/>
      <c r="F179" s="293" t="n"/>
      <c r="G179" s="293" t="n"/>
      <c r="H179" s="293" t="n"/>
      <c r="I179" s="293" t="n"/>
    </row>
    <row r="180" outlineLevel="1">
      <c r="D180" s="142" t="n"/>
    </row>
    <row r="181" outlineLevel="1">
      <c r="B181" s="21" t="inlineStr">
        <is>
          <t>Exit Year 2026</t>
        </is>
      </c>
      <c r="D181" s="284" t="n"/>
      <c r="E181" s="247" t="n"/>
      <c r="F181" s="246" t="n"/>
      <c r="G181" s="246" t="n"/>
      <c r="H181" s="246" t="n"/>
      <c r="I181" s="246" t="n"/>
    </row>
    <row r="182" outlineLevel="1">
      <c r="B182" s="21" t="inlineStr">
        <is>
          <t>Exit Year 2027</t>
        </is>
      </c>
      <c r="D182" s="284" t="n"/>
      <c r="E182" s="246" t="n"/>
      <c r="F182" s="247" t="n"/>
      <c r="G182" s="246" t="n"/>
      <c r="H182" s="246" t="n"/>
      <c r="I182" s="246" t="n"/>
    </row>
    <row r="183" outlineLevel="1">
      <c r="B183" s="21" t="inlineStr">
        <is>
          <t>Exit Year 2028</t>
        </is>
      </c>
      <c r="D183" s="284" t="n"/>
      <c r="E183" s="246" t="n"/>
      <c r="F183" s="246" t="n"/>
      <c r="G183" s="247" t="n"/>
      <c r="H183" s="246" t="n"/>
      <c r="I183" s="246" t="n"/>
    </row>
    <row r="184" outlineLevel="1">
      <c r="B184" s="21" t="inlineStr">
        <is>
          <t>Exit Year 2029</t>
        </is>
      </c>
      <c r="D184" s="284" t="n"/>
      <c r="E184" s="246" t="n"/>
      <c r="F184" s="246" t="n"/>
      <c r="G184" s="246" t="n"/>
      <c r="H184" s="247" t="n"/>
      <c r="I184" s="247" t="n"/>
    </row>
    <row r="185" outlineLevel="1">
      <c r="B185" s="21" t="inlineStr">
        <is>
          <t>Exit Year 2030</t>
        </is>
      </c>
      <c r="D185" s="284" t="n"/>
      <c r="E185" s="246" t="n"/>
      <c r="F185" s="246" t="n"/>
      <c r="G185" s="246" t="n"/>
      <c r="H185" s="246" t="n"/>
      <c r="I185" s="247" t="n"/>
    </row>
    <row r="186" outlineLevel="1">
      <c r="D186" s="142" t="n"/>
    </row>
    <row r="187" outlineLevel="1">
      <c r="B187" s="106" t="inlineStr">
        <is>
          <t>IRR</t>
        </is>
      </c>
      <c r="C187" s="106" t="n"/>
      <c r="D187" s="150" t="n"/>
      <c r="E187" s="294" t="n"/>
      <c r="F187" s="294" t="n"/>
      <c r="G187" s="294" t="n"/>
      <c r="H187" s="294" t="n"/>
      <c r="I187" s="294" t="n"/>
    </row>
    <row r="188" outlineLevel="1">
      <c r="B188" s="108" t="inlineStr">
        <is>
          <t>MOIC</t>
        </is>
      </c>
      <c r="C188" s="108" t="n"/>
      <c r="D188" s="151" t="n"/>
      <c r="E188" s="295" t="n"/>
      <c r="F188" s="295" t="n"/>
      <c r="G188" s="295" t="n"/>
      <c r="H188" s="295" t="n"/>
      <c r="I188" s="295" t="n"/>
    </row>
    <row r="189" outlineLevel="1">
      <c r="D189" s="142" t="n"/>
    </row>
    <row r="190" outlineLevel="1">
      <c r="B190" s="82" t="inlineStr">
        <is>
          <t>Visante  Employees</t>
        </is>
      </c>
      <c r="C190" s="82" t="n"/>
      <c r="D190" s="148" t="n"/>
      <c r="E190" s="82" t="n"/>
      <c r="F190" s="82" t="n"/>
      <c r="G190" s="82" t="n"/>
      <c r="H190" s="82" t="n"/>
    </row>
    <row r="191" outlineLevel="1">
      <c r="B191" s="61" t="inlineStr">
        <is>
          <t>Equity</t>
        </is>
      </c>
      <c r="D191" s="142" t="n"/>
      <c r="E191" s="290" t="n"/>
      <c r="F191" s="290" t="n"/>
      <c r="G191" s="290" t="n"/>
      <c r="H191" s="290" t="n"/>
      <c r="I191" s="297" t="n"/>
    </row>
    <row r="192" outlineLevel="1">
      <c r="B192" s="61" t="inlineStr">
        <is>
          <t>Loan Notes</t>
        </is>
      </c>
      <c r="D192" s="142" t="n"/>
      <c r="E192" s="290" t="n"/>
      <c r="F192" s="290" t="n"/>
      <c r="G192" s="290" t="n"/>
      <c r="H192" s="290" t="n"/>
      <c r="I192" s="290" t="n"/>
    </row>
    <row r="193" outlineLevel="1">
      <c r="B193" s="99" t="inlineStr">
        <is>
          <t>Total - Visante Management</t>
        </is>
      </c>
      <c r="C193" s="99" t="n"/>
      <c r="D193" s="149" t="n"/>
      <c r="E193" s="293" t="n"/>
      <c r="F193" s="293" t="n"/>
      <c r="G193" s="293" t="n"/>
      <c r="H193" s="293" t="n"/>
      <c r="I193" s="293" t="n"/>
    </row>
    <row r="194" outlineLevel="1">
      <c r="D194" s="142" t="n"/>
    </row>
    <row r="195" outlineLevel="1">
      <c r="B195" s="21" t="inlineStr">
        <is>
          <t>Exit Year 2026</t>
        </is>
      </c>
      <c r="D195" s="284" t="n"/>
      <c r="E195" s="247" t="n"/>
      <c r="F195" s="246" t="n"/>
      <c r="G195" s="246" t="n"/>
      <c r="H195" s="246" t="n"/>
      <c r="I195" s="246" t="n"/>
    </row>
    <row r="196" outlineLevel="1">
      <c r="B196" s="21" t="inlineStr">
        <is>
          <t>Exit Year 2027</t>
        </is>
      </c>
      <c r="D196" s="284" t="n"/>
      <c r="E196" s="246" t="n"/>
      <c r="F196" s="247" t="n"/>
      <c r="G196" s="246" t="n"/>
      <c r="H196" s="246" t="n"/>
      <c r="I196" s="246" t="n"/>
    </row>
    <row r="197" outlineLevel="1">
      <c r="B197" s="21" t="inlineStr">
        <is>
          <t>Exit Year 2028</t>
        </is>
      </c>
      <c r="D197" s="284" t="n"/>
      <c r="E197" s="246" t="n"/>
      <c r="F197" s="246" t="n"/>
      <c r="G197" s="247" t="n"/>
      <c r="H197" s="246" t="n"/>
      <c r="I197" s="246" t="n"/>
    </row>
    <row r="198" outlineLevel="1">
      <c r="B198" s="21" t="inlineStr">
        <is>
          <t>Exit Year 2029</t>
        </is>
      </c>
      <c r="D198" s="284" t="n"/>
      <c r="E198" s="246" t="n"/>
      <c r="F198" s="246" t="n"/>
      <c r="G198" s="246" t="n"/>
      <c r="H198" s="247" t="n"/>
      <c r="I198" s="247" t="n"/>
    </row>
    <row r="199" outlineLevel="1">
      <c r="B199" s="21" t="inlineStr">
        <is>
          <t>Exit Year 2030</t>
        </is>
      </c>
      <c r="D199" s="284" t="n"/>
      <c r="E199" s="246" t="n"/>
      <c r="F199" s="246" t="n"/>
      <c r="G199" s="246" t="n"/>
      <c r="H199" s="246" t="n"/>
      <c r="I199" s="247" t="n"/>
    </row>
    <row r="200" outlineLevel="1">
      <c r="D200" s="142" t="n"/>
    </row>
    <row r="201" outlineLevel="1">
      <c r="B201" s="106" t="inlineStr">
        <is>
          <t>IRR</t>
        </is>
      </c>
      <c r="C201" s="106" t="n"/>
      <c r="D201" s="150" t="n"/>
      <c r="E201" s="294" t="n"/>
      <c r="F201" s="294" t="n"/>
      <c r="G201" s="294" t="n"/>
      <c r="H201" s="294" t="n"/>
      <c r="I201" s="294" t="n"/>
    </row>
    <row r="202" outlineLevel="1">
      <c r="B202" s="108" t="inlineStr">
        <is>
          <t>MOIC</t>
        </is>
      </c>
      <c r="C202" s="108" t="n"/>
      <c r="D202" s="151" t="n"/>
      <c r="E202" s="295" t="n"/>
      <c r="F202" s="295" t="n"/>
      <c r="G202" s="295" t="n"/>
      <c r="H202" s="295" t="n"/>
      <c r="I202" s="295" t="n"/>
    </row>
    <row r="203" outlineLevel="1"/>
    <row r="204" outlineLevel="1"/>
    <row r="205" ht="3.95" customHeight="1"/>
    <row r="206" customFormat="1" s="20">
      <c r="A206" s="115" t="inlineStr">
        <is>
          <t>X</t>
        </is>
      </c>
      <c r="B206" s="19" t="inlineStr">
        <is>
          <t>Supporting Calculations</t>
        </is>
      </c>
    </row>
    <row r="207" outlineLevel="1"/>
    <row r="208" outlineLevel="1">
      <c r="B208" s="298" t="n"/>
      <c r="C208" s="268" t="n">
        <v>45657</v>
      </c>
      <c r="D208" s="281" t="n">
        <v>46022</v>
      </c>
      <c r="E208" s="268" t="inlineStr">
        <is>
          <t>Q425F</t>
        </is>
      </c>
      <c r="F208" s="270" t="n">
        <v>46387</v>
      </c>
      <c r="G208" s="270" t="n">
        <v>46752</v>
      </c>
      <c r="H208" s="270" t="n">
        <v>47118</v>
      </c>
      <c r="I208" s="270" t="n">
        <v>47483</v>
      </c>
      <c r="J208" s="270" t="n">
        <v>47848</v>
      </c>
    </row>
    <row r="209" outlineLevel="1">
      <c r="D209" s="142" t="n"/>
    </row>
    <row r="210" outlineLevel="1">
      <c r="C210" s="290" t="n"/>
      <c r="D210" s="299" t="n"/>
      <c r="E210" s="247" t="n"/>
      <c r="F210" s="290" t="n"/>
      <c r="G210" s="290" t="n"/>
      <c r="H210" s="290" t="n"/>
      <c r="I210" s="290" t="n"/>
      <c r="J210" s="290" t="n"/>
    </row>
    <row r="211" outlineLevel="1">
      <c r="D211" s="142" t="n"/>
      <c r="F211" s="290" t="n"/>
      <c r="G211" s="290" t="n"/>
      <c r="H211" s="290" t="n"/>
      <c r="I211" s="290" t="n"/>
      <c r="J211" s="290" t="n"/>
    </row>
    <row r="212" outlineLevel="1">
      <c r="B212" s="23" t="inlineStr">
        <is>
          <t>CapEx</t>
        </is>
      </c>
      <c r="D212" s="142" t="n"/>
      <c r="F212" s="290" t="n"/>
      <c r="G212" s="290" t="n"/>
      <c r="H212" s="290" t="n"/>
      <c r="I212" s="290" t="n"/>
      <c r="J212" s="290" t="n"/>
    </row>
    <row r="213" outlineLevel="1">
      <c r="C213" s="247" t="n"/>
      <c r="D213" s="284" t="n"/>
      <c r="E213" s="247" t="n"/>
      <c r="F213" s="247" t="n"/>
      <c r="G213" s="247" t="n"/>
      <c r="H213" s="247" t="n"/>
      <c r="I213" s="247" t="n"/>
      <c r="J213" s="247" t="n"/>
    </row>
    <row r="214" outlineLevel="1">
      <c r="C214" s="247" t="n"/>
      <c r="D214" s="284" t="n"/>
      <c r="F214" s="247" t="n"/>
      <c r="G214" s="247" t="n"/>
      <c r="H214" s="247" t="n"/>
      <c r="I214" s="247" t="n"/>
      <c r="J214" s="247" t="n"/>
    </row>
    <row r="215" outlineLevel="1">
      <c r="B215" s="23" t="inlineStr">
        <is>
          <t>Working Capital</t>
        </is>
      </c>
      <c r="C215" s="247" t="n"/>
      <c r="D215" s="284" t="n"/>
      <c r="F215" s="247" t="n"/>
      <c r="G215" s="247" t="n"/>
      <c r="H215" s="247" t="n"/>
      <c r="I215" s="247" t="n"/>
      <c r="J215" s="247" t="n"/>
    </row>
    <row r="216" outlineLevel="1">
      <c r="C216" s="247" t="n"/>
      <c r="D216" s="284" t="n"/>
      <c r="E216" s="247" t="n"/>
      <c r="F216" s="247" t="n"/>
      <c r="G216" s="247" t="n"/>
      <c r="H216" s="247" t="n"/>
      <c r="I216" s="247" t="n"/>
      <c r="J216" s="247" t="n"/>
    </row>
    <row r="217" outlineLevel="1">
      <c r="C217" s="247" t="n"/>
      <c r="D217" s="284" t="n"/>
      <c r="E217" s="247" t="n"/>
      <c r="F217" s="247" t="n"/>
      <c r="G217" s="247" t="n"/>
      <c r="H217" s="247" t="n"/>
      <c r="I217" s="247" t="n"/>
      <c r="J217" s="247" t="n"/>
    </row>
    <row r="218" outlineLevel="1"/>
    <row r="219" ht="3.95" customHeight="1"/>
    <row r="220" collapsed="1" customFormat="1" s="20">
      <c r="A220" s="115" t="inlineStr">
        <is>
          <t>X</t>
        </is>
      </c>
      <c r="B220" s="19" t="inlineStr">
        <is>
          <t>End</t>
        </is>
      </c>
    </row>
  </sheetData>
  <dataValidations disablePrompts="1" count="1">
    <dataValidation sqref="G21" showDropDown="0" showInputMessage="1" showErrorMessage="1" allowBlank="1" type="list">
      <formula1>"Yes, No"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N69"/>
  <sheetViews>
    <sheetView showGridLines="0" tabSelected="1" workbookViewId="0">
      <selection activeCell="G44" sqref="G44"/>
    </sheetView>
  </sheetViews>
  <sheetFormatPr baseColWidth="8" defaultColWidth="9.125" defaultRowHeight="12" outlineLevelRow="1"/>
  <cols>
    <col width="1.75" customWidth="1" style="114" min="1" max="1"/>
    <col width="17.875" bestFit="1" customWidth="1" style="21" min="2" max="2"/>
    <col width="9.125" customWidth="1" style="21" min="3" max="3"/>
    <col width="9.125" customWidth="1" style="21" min="4" max="16384"/>
  </cols>
  <sheetData>
    <row r="1" ht="15" customFormat="1" customHeight="1" s="19">
      <c r="B1" s="188" t="inlineStr">
        <is>
          <t>Visante - DCF Model</t>
        </is>
      </c>
    </row>
    <row r="2" ht="3.95" customHeight="1">
      <c r="C2" s="26" t="n"/>
    </row>
    <row r="3" customFormat="1" s="20">
      <c r="A3" s="118" t="inlineStr">
        <is>
          <t>x</t>
        </is>
      </c>
      <c r="B3" s="19" t="inlineStr">
        <is>
          <t>Assumptions</t>
        </is>
      </c>
    </row>
    <row r="4" outlineLevel="1"/>
    <row r="5" outlineLevel="1">
      <c r="B5" s="21" t="inlineStr">
        <is>
          <t>Perpetuity Growth</t>
        </is>
      </c>
      <c r="C5" s="242" t="n">
        <v>0.02</v>
      </c>
      <c r="E5" s="21" t="inlineStr">
        <is>
          <t>Calculation</t>
        </is>
      </c>
      <c r="F5" s="25" t="inlineStr">
        <is>
          <t>Black</t>
        </is>
      </c>
      <c r="G5" s="21" t="inlineStr">
        <is>
          <t>Completion</t>
        </is>
      </c>
      <c r="I5" s="132" t="n">
        <v>45930</v>
      </c>
    </row>
    <row r="6" outlineLevel="1">
      <c r="B6" s="21" t="inlineStr">
        <is>
          <t>Exit Multiple</t>
        </is>
      </c>
      <c r="C6" s="300">
        <f>LBO!H8</f>
        <v/>
      </c>
      <c r="E6" s="21" t="inlineStr">
        <is>
          <t>Input</t>
        </is>
      </c>
      <c r="F6" s="26" t="inlineStr">
        <is>
          <t>Blue</t>
        </is>
      </c>
      <c r="G6" s="21" t="inlineStr">
        <is>
          <t>Financial Year-end</t>
        </is>
      </c>
      <c r="I6" s="132" t="n">
        <v>46022</v>
      </c>
    </row>
    <row r="7" outlineLevel="1">
      <c r="B7" s="21" t="inlineStr">
        <is>
          <t>Tax Rate</t>
        </is>
      </c>
      <c r="C7" s="58" t="n">
        <v>0.2</v>
      </c>
      <c r="G7" s="99" t="inlineStr">
        <is>
          <t>Year Fraction</t>
        </is>
      </c>
      <c r="H7" s="99" t="n"/>
      <c r="I7" s="240" t="n">
        <v>0.25</v>
      </c>
    </row>
    <row r="8" outlineLevel="1">
      <c r="B8" s="21" t="inlineStr">
        <is>
          <t xml:space="preserve">Long-term Debt/Equity </t>
        </is>
      </c>
      <c r="C8" s="242" t="n">
        <v>0.5</v>
      </c>
      <c r="G8" s="22" t="n"/>
      <c r="H8" s="22" t="n"/>
      <c r="I8" s="22" t="n"/>
    </row>
    <row r="9" outlineLevel="1"/>
    <row r="10" ht="3.95" customHeight="1"/>
    <row r="11" customFormat="1" s="20">
      <c r="A11" s="118" t="inlineStr">
        <is>
          <t>x</t>
        </is>
      </c>
      <c r="B11" s="19" t="inlineStr">
        <is>
          <t>WACC</t>
        </is>
      </c>
    </row>
    <row r="12" outlineLevel="1">
      <c r="B12" s="73" t="n"/>
    </row>
    <row r="13" outlineLevel="1">
      <c r="B13" s="25" t="inlineStr">
        <is>
          <t>Cost of Debt</t>
        </is>
      </c>
      <c r="C13" s="248">
        <f>C14*C7</f>
        <v/>
      </c>
      <c r="D13" s="174" t="n"/>
    </row>
    <row r="14" outlineLevel="1">
      <c r="B14" s="25" t="inlineStr">
        <is>
          <t>Debt</t>
        </is>
      </c>
      <c r="C14" s="175">
        <f>C8/(1+C8)</f>
        <v/>
      </c>
      <c r="D14" s="174" t="n"/>
      <c r="K14" s="23" t="inlineStr">
        <is>
          <t>Beta</t>
        </is>
      </c>
    </row>
    <row r="15" outlineLevel="1">
      <c r="B15" s="25" t="n"/>
      <c r="C15" s="248" t="n"/>
      <c r="D15" s="174" t="n"/>
      <c r="K15" s="21" t="inlineStr">
        <is>
          <t>Computer services</t>
        </is>
      </c>
      <c r="N15" s="21" t="n">
        <v>0.98</v>
      </c>
    </row>
    <row r="16" outlineLevel="1">
      <c r="B16" s="25" t="inlineStr">
        <is>
          <t>Risk Free Rate</t>
        </is>
      </c>
      <c r="C16" s="242">
        <f>0.04</f>
        <v/>
      </c>
      <c r="D16" s="172" t="n"/>
      <c r="K16" s="21" t="inlineStr">
        <is>
          <t>Business and consumer services</t>
        </is>
      </c>
      <c r="N16" s="21" t="n">
        <v>0.85</v>
      </c>
    </row>
    <row r="17" outlineLevel="1">
      <c r="B17" s="25" t="inlineStr">
        <is>
          <t>Equity Risk Premium</t>
        </is>
      </c>
      <c r="C17" s="214">
        <f>0.06</f>
        <v/>
      </c>
      <c r="D17" s="172" t="n"/>
      <c r="K17" s="21" t="inlineStr">
        <is>
          <t>Information Services</t>
        </is>
      </c>
      <c r="N17" s="21" t="n">
        <v>0.82</v>
      </c>
    </row>
    <row r="18" outlineLevel="1">
      <c r="B18" s="25" t="inlineStr">
        <is>
          <t>Unlevered Beta</t>
        </is>
      </c>
      <c r="C18" s="101">
        <f>AVERAGE(L11:L13)</f>
        <v/>
      </c>
      <c r="D18" s="172" t="n"/>
      <c r="K18" s="38" t="inlineStr">
        <is>
          <t>Average</t>
        </is>
      </c>
      <c r="L18" s="38" t="n"/>
      <c r="M18" s="38" t="n"/>
      <c r="N18" s="193" t="n">
        <v>0.8833333333333333</v>
      </c>
    </row>
    <row r="19" outlineLevel="1">
      <c r="B19" s="25" t="inlineStr">
        <is>
          <t>Levered Beta</t>
        </is>
      </c>
      <c r="C19" s="101">
        <f>C18*(1+(1-C7)*C8)</f>
        <v/>
      </c>
      <c r="D19" s="174" t="n"/>
    </row>
    <row r="20" outlineLevel="1">
      <c r="B20" s="25" t="inlineStr">
        <is>
          <t>Cost of Equity</t>
        </is>
      </c>
      <c r="C20" s="213">
        <f>C16+C19*C17</f>
        <v/>
      </c>
    </row>
    <row r="21" outlineLevel="1">
      <c r="B21" s="25" t="inlineStr">
        <is>
          <t xml:space="preserve">Equity </t>
        </is>
      </c>
      <c r="C21" s="290">
        <f>1-C14</f>
        <v/>
      </c>
    </row>
    <row r="22" outlineLevel="1">
      <c r="B22" s="25" t="n"/>
      <c r="C22" s="290" t="n"/>
    </row>
    <row r="23" outlineLevel="1">
      <c r="B23" s="25" t="inlineStr">
        <is>
          <t>Debt + Equity</t>
        </is>
      </c>
      <c r="C23" s="290">
        <f>C14+C21</f>
        <v/>
      </c>
    </row>
    <row r="24" outlineLevel="1">
      <c r="B24" s="25" t="n"/>
      <c r="C24" s="290" t="n"/>
    </row>
    <row r="25" outlineLevel="1" customFormat="1" s="199">
      <c r="A25" s="195" t="n"/>
      <c r="B25" s="200" t="inlineStr">
        <is>
          <t>Size Premium</t>
        </is>
      </c>
      <c r="C25" s="301">
        <f>0.03</f>
        <v/>
      </c>
      <c r="D25" s="202" t="n"/>
    </row>
    <row r="26" outlineLevel="1">
      <c r="B26" s="25" t="n"/>
      <c r="C26" s="290" t="n"/>
    </row>
    <row r="27" outlineLevel="1">
      <c r="B27" s="176" t="inlineStr">
        <is>
          <t>WACC</t>
        </is>
      </c>
      <c r="C27" s="302">
        <f>(C13*C14)+(C20*C21)+C25</f>
        <v/>
      </c>
    </row>
    <row r="28" outlineLevel="1">
      <c r="B28" s="25" t="n"/>
      <c r="C28" s="290" t="n"/>
    </row>
    <row r="29" ht="3.95" customHeight="1"/>
    <row r="30" customFormat="1" s="20">
      <c r="A30" s="118" t="inlineStr">
        <is>
          <t>x</t>
        </is>
      </c>
      <c r="B30" s="19" t="inlineStr">
        <is>
          <t xml:space="preserve">DCF </t>
        </is>
      </c>
    </row>
    <row r="31" outlineLevel="1"/>
    <row r="32" outlineLevel="1">
      <c r="B32" s="268" t="n"/>
      <c r="C32" s="303" t="n">
        <v>46022</v>
      </c>
      <c r="D32" s="268" t="inlineStr">
        <is>
          <t>Q425F</t>
        </is>
      </c>
      <c r="E32" s="270" t="n">
        <v>46387</v>
      </c>
      <c r="F32" s="270" t="n">
        <v>46752</v>
      </c>
      <c r="G32" s="270" t="n">
        <v>47118</v>
      </c>
      <c r="H32" s="270" t="n">
        <v>47483</v>
      </c>
      <c r="I32" s="270" t="n">
        <v>47848</v>
      </c>
    </row>
    <row r="33" outlineLevel="1">
      <c r="C33" s="142" t="n"/>
    </row>
    <row r="34" outlineLevel="1" customFormat="1" s="22">
      <c r="A34" s="116" t="n"/>
      <c r="B34" s="22" t="inlineStr">
        <is>
          <t>Revenue</t>
        </is>
      </c>
      <c r="C34" s="304">
        <f>LDN!D10*(1-DCF!I7)</f>
        <v/>
      </c>
      <c r="D34" s="305">
        <f>LDN!D10*DCF!I7</f>
        <v/>
      </c>
      <c r="E34" s="305">
        <f>LDN!E10</f>
        <v/>
      </c>
      <c r="F34" s="305">
        <f>LDN!F10</f>
        <v/>
      </c>
      <c r="G34" s="305">
        <f>LDN!G10</f>
        <v/>
      </c>
      <c r="H34" s="305">
        <f>LDN!H10</f>
        <v/>
      </c>
      <c r="I34" s="305">
        <f>LDN!I10</f>
        <v/>
      </c>
    </row>
    <row r="35" outlineLevel="1" customFormat="1" s="22">
      <c r="A35" s="116" t="n"/>
      <c r="B35" s="98" t="inlineStr">
        <is>
          <t>Growth</t>
        </is>
      </c>
      <c r="C35" s="304" t="n"/>
      <c r="D35" s="305" t="n"/>
      <c r="E35" s="305" t="n"/>
      <c r="F35" s="305" t="n"/>
      <c r="G35" s="305" t="n"/>
      <c r="H35" s="305" t="n"/>
      <c r="I35" s="305" t="n"/>
    </row>
    <row r="36" outlineLevel="1">
      <c r="B36" s="82" t="inlineStr">
        <is>
          <t>EBITDA</t>
        </is>
      </c>
      <c r="C36" s="306">
        <f>LDN!D11*(IF(COLUMN()=3,1-DCF!I7,DCF!I7))</f>
        <v/>
      </c>
      <c r="D36" s="291">
        <f>LDN!D11*(IF(COLUMN()=3,1-DCF!I7,DCF!I7))</f>
        <v/>
      </c>
      <c r="E36" s="291">
        <f>LDN!E11</f>
        <v/>
      </c>
      <c r="F36" s="291">
        <f>LDN!F11</f>
        <v/>
      </c>
      <c r="G36" s="291">
        <f>LDN!G11</f>
        <v/>
      </c>
      <c r="H36" s="291">
        <f>LDN!H11</f>
        <v/>
      </c>
      <c r="I36" s="291">
        <f>LDN!I11</f>
        <v/>
      </c>
    </row>
    <row r="37" outlineLevel="1">
      <c r="B37" s="61" t="inlineStr">
        <is>
          <t>Less D&amp;A</t>
        </is>
      </c>
      <c r="C37" s="284">
        <f>-C34*0.02</f>
        <v/>
      </c>
      <c r="D37" s="247">
        <f>-D34*0.02</f>
        <v/>
      </c>
      <c r="E37" s="247">
        <f>-E34*0.02</f>
        <v/>
      </c>
      <c r="F37" s="247">
        <f>-F34*0.02</f>
        <v/>
      </c>
      <c r="G37" s="247">
        <f>-G34*0.02</f>
        <v/>
      </c>
      <c r="H37" s="247">
        <f>-H34*0.02</f>
        <v/>
      </c>
      <c r="I37" s="247">
        <f>-I34*0.02</f>
        <v/>
      </c>
    </row>
    <row r="38" outlineLevel="1" customFormat="1" s="199">
      <c r="A38" s="195" t="n"/>
      <c r="B38" s="203" t="inlineStr">
        <is>
          <t>EBIT</t>
        </is>
      </c>
      <c r="C38" s="307">
        <f>C36+C37</f>
        <v/>
      </c>
      <c r="D38" s="308">
        <f>D36+D37</f>
        <v/>
      </c>
      <c r="E38" s="308">
        <f>E36+E37</f>
        <v/>
      </c>
      <c r="F38" s="308">
        <f>F36+F37</f>
        <v/>
      </c>
      <c r="G38" s="308">
        <f>G36+G37</f>
        <v/>
      </c>
      <c r="H38" s="308">
        <f>H36+H37</f>
        <v/>
      </c>
      <c r="I38" s="308">
        <f>I36+I37</f>
        <v/>
      </c>
    </row>
    <row r="39" outlineLevel="1">
      <c r="B39" s="61" t="inlineStr">
        <is>
          <t>Less: Taxes</t>
        </is>
      </c>
      <c r="C39" s="284">
        <f>-MAX(C38,0)*$C$7</f>
        <v/>
      </c>
      <c r="D39" s="247">
        <f>-MAX(D38,0)*$C$7</f>
        <v/>
      </c>
      <c r="E39" s="247">
        <f>-MAX(E38,0)*$C$7</f>
        <v/>
      </c>
      <c r="F39" s="247">
        <f>-MAX(F38,0)*$C$7</f>
        <v/>
      </c>
      <c r="G39" s="247">
        <f>-MAX(G38,0)*$C$7</f>
        <v/>
      </c>
      <c r="H39" s="247">
        <f>-MAX(H38,0)*$C$7</f>
        <v/>
      </c>
      <c r="I39" s="247">
        <f>-MAX(I38,0)*$C$7</f>
        <v/>
      </c>
    </row>
    <row r="40" outlineLevel="1">
      <c r="B40" s="61" t="inlineStr">
        <is>
          <t>Plus: D&amp;A</t>
        </is>
      </c>
      <c r="C40" s="284">
        <f>-C37</f>
        <v/>
      </c>
      <c r="D40" s="247">
        <f>-D37</f>
        <v/>
      </c>
      <c r="E40" s="247">
        <f>-E37</f>
        <v/>
      </c>
      <c r="F40" s="247">
        <f>-F37</f>
        <v/>
      </c>
      <c r="G40" s="247">
        <f>-G37</f>
        <v/>
      </c>
      <c r="H40" s="247">
        <f>-H37</f>
        <v/>
      </c>
      <c r="I40" s="247">
        <f>-I37</f>
        <v/>
      </c>
    </row>
    <row r="41" outlineLevel="1">
      <c r="B41" s="61" t="inlineStr">
        <is>
          <t>Less: CapEx</t>
        </is>
      </c>
      <c r="C41" s="284">
        <f>-C34*0.01</f>
        <v/>
      </c>
      <c r="D41" s="247">
        <f>-D34*0.01</f>
        <v/>
      </c>
      <c r="E41" s="247">
        <f>-E34*0.01</f>
        <v/>
      </c>
      <c r="F41" s="247">
        <f>-F34*0.01</f>
        <v/>
      </c>
      <c r="G41" s="247">
        <f>-G34*0.01</f>
        <v/>
      </c>
      <c r="H41" s="247">
        <f>-H34*0.01</f>
        <v/>
      </c>
      <c r="I41" s="247">
        <f>-I34*0.01</f>
        <v/>
      </c>
    </row>
    <row r="42" outlineLevel="1">
      <c r="B42" s="61" t="inlineStr">
        <is>
          <t>Less: Increase in NWC</t>
        </is>
      </c>
      <c r="C42" s="284">
        <f>-C34*0.10</f>
        <v/>
      </c>
      <c r="D42" s="247">
        <f>-D34*0.10</f>
        <v/>
      </c>
      <c r="E42" s="247">
        <f>-E34*0.10</f>
        <v/>
      </c>
      <c r="F42" s="247">
        <f>-F34*0.10</f>
        <v/>
      </c>
      <c r="G42" s="247">
        <f>-G34*0.10</f>
        <v/>
      </c>
      <c r="H42" s="247">
        <f>-H34*0.10</f>
        <v/>
      </c>
      <c r="I42" s="247">
        <f>-I34*0.10</f>
        <v/>
      </c>
    </row>
    <row r="43" outlineLevel="1">
      <c r="B43" s="82" t="inlineStr">
        <is>
          <t>Free Cash Fl ow (FCF)</t>
        </is>
      </c>
      <c r="C43" s="306">
        <f>SUM(C38:C42)</f>
        <v/>
      </c>
      <c r="D43" s="291">
        <f>SUM(D38:D42)</f>
        <v/>
      </c>
      <c r="E43" s="291">
        <f>SUM(E38:E42)</f>
        <v/>
      </c>
      <c r="F43" s="291">
        <f>SUM(F38:F42)</f>
        <v/>
      </c>
      <c r="G43" s="291">
        <f>SUM(G38:G42)</f>
        <v/>
      </c>
      <c r="H43" s="291">
        <f>SUM(H38:H42)</f>
        <v/>
      </c>
      <c r="I43" s="291">
        <f>SUM(I38:I42)</f>
        <v/>
      </c>
    </row>
    <row r="44" outlineLevel="1">
      <c r="C44" s="142" t="n"/>
    </row>
    <row r="45" outlineLevel="1">
      <c r="B45" s="21" t="inlineStr">
        <is>
          <t>Period</t>
        </is>
      </c>
      <c r="C45" s="168" t="n"/>
      <c r="D45" s="264" t="n">
        <v>0.25</v>
      </c>
      <c r="E45" s="264" t="n">
        <v>1.25</v>
      </c>
      <c r="F45" s="264" t="n">
        <v>2.25</v>
      </c>
      <c r="G45" s="264" t="n">
        <v>3.25</v>
      </c>
      <c r="H45" s="264" t="n">
        <v>4.25</v>
      </c>
      <c r="I45" s="264" t="n">
        <v>5.25</v>
      </c>
    </row>
    <row r="46" outlineLevel="1">
      <c r="B46" s="21" t="inlineStr">
        <is>
          <t>Discount Factor</t>
        </is>
      </c>
      <c r="C46" s="169" t="n"/>
      <c r="D46" s="264" t="inlineStr">
        <is>
          <t>???</t>
        </is>
      </c>
      <c r="E46" s="264" t="inlineStr">
        <is>
          <t>???</t>
        </is>
      </c>
      <c r="F46" s="264" t="inlineStr">
        <is>
          <t>???</t>
        </is>
      </c>
      <c r="G46" s="264" t="inlineStr">
        <is>
          <t>???</t>
        </is>
      </c>
      <c r="H46" s="264" t="inlineStr">
        <is>
          <t>???</t>
        </is>
      </c>
      <c r="I46" s="264" t="inlineStr">
        <is>
          <t>???</t>
        </is>
      </c>
    </row>
    <row r="47" outlineLevel="1">
      <c r="C47" s="142" t="n"/>
      <c r="D47" s="101" t="n"/>
      <c r="E47" s="101" t="n"/>
      <c r="F47" s="101" t="n"/>
      <c r="G47" s="101" t="n"/>
      <c r="H47" s="101" t="n"/>
      <c r="I47" s="101" t="n"/>
    </row>
    <row r="48" outlineLevel="1">
      <c r="B48" s="22" t="inlineStr">
        <is>
          <t>PV of FCF</t>
        </is>
      </c>
      <c r="C48" s="309" t="n"/>
      <c r="D48" s="221" t="inlineStr">
        <is>
          <t>???</t>
        </is>
      </c>
      <c r="E48" s="221" t="inlineStr">
        <is>
          <t>???</t>
        </is>
      </c>
      <c r="F48" s="221" t="inlineStr">
        <is>
          <t>???</t>
        </is>
      </c>
      <c r="G48" s="221" t="inlineStr">
        <is>
          <t>???</t>
        </is>
      </c>
      <c r="H48" s="221" t="inlineStr">
        <is>
          <t>???</t>
        </is>
      </c>
      <c r="I48" s="221" t="inlineStr">
        <is>
          <t>???</t>
        </is>
      </c>
    </row>
    <row r="49" outlineLevel="1">
      <c r="B49" s="82" t="inlineStr">
        <is>
          <t>Sum of PV of FCF</t>
        </is>
      </c>
      <c r="C49" s="148" t="n"/>
      <c r="D49" s="222" t="n"/>
      <c r="E49" s="222" t="n"/>
      <c r="F49" s="222" t="n"/>
      <c r="G49" s="222" t="n"/>
      <c r="H49" s="222" t="n"/>
      <c r="I49" s="222" t="inlineStr">
        <is>
          <t>???</t>
        </is>
      </c>
    </row>
    <row r="50" outlineLevel="1">
      <c r="C50" s="142" t="n"/>
    </row>
    <row r="51" outlineLevel="1"/>
    <row r="52" outlineLevel="1">
      <c r="B52" s="23" t="inlineStr">
        <is>
          <t>Enterprise Value - PGM</t>
        </is>
      </c>
      <c r="C52" s="23" t="n"/>
      <c r="E52" s="206" t="inlineStr">
        <is>
          <t>Enterprise Value - EMM</t>
        </is>
      </c>
      <c r="F52" s="199" t="n"/>
      <c r="G52" s="199" t="n"/>
    </row>
    <row r="53" outlineLevel="1">
      <c r="B53" s="208" t="inlineStr">
        <is>
          <t xml:space="preserve">Terminal Value </t>
        </is>
      </c>
      <c r="C53" s="223" t="inlineStr">
        <is>
          <t>???</t>
        </is>
      </c>
      <c r="E53" s="199" t="inlineStr">
        <is>
          <t xml:space="preserve">Terminal Value </t>
        </is>
      </c>
      <c r="F53" s="199" t="n"/>
      <c r="G53" s="224" t="inlineStr">
        <is>
          <t>???</t>
        </is>
      </c>
    </row>
    <row r="54" outlineLevel="1">
      <c r="B54" s="21" t="inlineStr">
        <is>
          <t>PV of Terminal Value</t>
        </is>
      </c>
      <c r="C54" s="101" t="inlineStr">
        <is>
          <t>???</t>
        </is>
      </c>
      <c r="E54" s="199" t="inlineStr">
        <is>
          <t>PV of Terminal Value</t>
        </is>
      </c>
      <c r="F54" s="199" t="n"/>
      <c r="G54" s="224" t="inlineStr">
        <is>
          <t>???</t>
        </is>
      </c>
    </row>
    <row r="55" outlineLevel="1">
      <c r="B55" s="21" t="inlineStr">
        <is>
          <t>Cumulative FCF</t>
        </is>
      </c>
      <c r="C55" s="101" t="inlineStr">
        <is>
          <t>???</t>
        </is>
      </c>
      <c r="E55" s="199" t="inlineStr">
        <is>
          <t>Cumulative FCF</t>
        </is>
      </c>
      <c r="F55" s="199" t="n"/>
      <c r="G55" s="224" t="inlineStr">
        <is>
          <t>???</t>
        </is>
      </c>
    </row>
    <row r="56" outlineLevel="1">
      <c r="B56" s="82" t="inlineStr">
        <is>
          <t>Enterprise Value</t>
        </is>
      </c>
      <c r="C56" s="222" t="inlineStr">
        <is>
          <t>???</t>
        </is>
      </c>
      <c r="E56" s="203" t="inlineStr">
        <is>
          <t>Enterprise Value</t>
        </is>
      </c>
      <c r="F56" s="203" t="n"/>
      <c r="G56" s="225" t="inlineStr">
        <is>
          <t>???</t>
        </is>
      </c>
    </row>
    <row r="57" outlineLevel="1">
      <c r="B57" s="21" t="inlineStr">
        <is>
          <t>Terminal Year EBITDA</t>
        </is>
      </c>
      <c r="C57" s="101" t="inlineStr">
        <is>
          <t>???</t>
        </is>
      </c>
      <c r="E57" s="199" t="inlineStr">
        <is>
          <t>Terminal Year EBITDA</t>
        </is>
      </c>
      <c r="F57" s="199" t="n"/>
      <c r="G57" s="224" t="inlineStr">
        <is>
          <t>???</t>
        </is>
      </c>
    </row>
    <row r="58" outlineLevel="1">
      <c r="B58" s="82" t="inlineStr">
        <is>
          <t>Implied EV/EBITDA</t>
        </is>
      </c>
      <c r="C58" s="310" t="inlineStr">
        <is>
          <t>???</t>
        </is>
      </c>
      <c r="E58" s="203" t="inlineStr">
        <is>
          <t>Implied EV/EBITDA</t>
        </is>
      </c>
      <c r="F58" s="311" t="n"/>
      <c r="G58" s="312" t="inlineStr">
        <is>
          <t>???</t>
        </is>
      </c>
    </row>
    <row r="59" outlineLevel="1"/>
    <row r="60" ht="3.95" customHeight="1"/>
    <row r="61" customFormat="1" s="20">
      <c r="A61" s="118" t="inlineStr">
        <is>
          <t>x</t>
        </is>
      </c>
      <c r="B61" s="19" t="inlineStr">
        <is>
          <t>Supporting Calculations</t>
        </is>
      </c>
    </row>
    <row r="62" outlineLevel="1"/>
    <row r="63" outlineLevel="1">
      <c r="B63" s="270" t="n"/>
      <c r="C63" s="270" t="n"/>
      <c r="D63" s="270" t="n"/>
      <c r="E63" s="270" t="n">
        <v>46387</v>
      </c>
      <c r="F63" s="270" t="n">
        <v>46752</v>
      </c>
      <c r="G63" s="270" t="n">
        <v>47118</v>
      </c>
      <c r="H63" s="270" t="n">
        <v>47483</v>
      </c>
      <c r="I63" s="270" t="n">
        <v>47848</v>
      </c>
    </row>
    <row r="64" outlineLevel="1">
      <c r="B64" s="21" t="inlineStr">
        <is>
          <t>Debt</t>
        </is>
      </c>
      <c r="E64" s="101" t="inlineStr">
        <is>
          <t>???</t>
        </is>
      </c>
      <c r="F64" s="101" t="inlineStr">
        <is>
          <t>???</t>
        </is>
      </c>
      <c r="G64" s="101" t="inlineStr">
        <is>
          <t>???</t>
        </is>
      </c>
      <c r="H64" s="101" t="inlineStr">
        <is>
          <t>???</t>
        </is>
      </c>
      <c r="I64" s="101" t="inlineStr">
        <is>
          <t>???</t>
        </is>
      </c>
    </row>
    <row r="65" outlineLevel="1">
      <c r="B65" s="21" t="inlineStr">
        <is>
          <t>Equity</t>
        </is>
      </c>
      <c r="E65" s="101" t="inlineStr">
        <is>
          <t>???</t>
        </is>
      </c>
      <c r="F65" s="101" t="inlineStr">
        <is>
          <t>???</t>
        </is>
      </c>
      <c r="G65" s="101" t="inlineStr">
        <is>
          <t>???</t>
        </is>
      </c>
      <c r="H65" s="101" t="inlineStr">
        <is>
          <t>???</t>
        </is>
      </c>
      <c r="I65" s="101" t="inlineStr">
        <is>
          <t>???</t>
        </is>
      </c>
    </row>
    <row r="66" outlineLevel="1">
      <c r="B66" s="21" t="inlineStr">
        <is>
          <t>Debt/Equity</t>
        </is>
      </c>
      <c r="E66" s="58" t="inlineStr">
        <is>
          <t>???</t>
        </is>
      </c>
      <c r="F66" s="58" t="inlineStr">
        <is>
          <t>???</t>
        </is>
      </c>
      <c r="G66" s="58" t="inlineStr">
        <is>
          <t>???</t>
        </is>
      </c>
      <c r="H66" s="58" t="inlineStr">
        <is>
          <t>???</t>
        </is>
      </c>
      <c r="I66" s="58" t="inlineStr">
        <is>
          <t>???</t>
        </is>
      </c>
    </row>
    <row r="67" outlineLevel="1">
      <c r="I67" s="173" t="n"/>
    </row>
    <row r="68" ht="3.95" customHeight="1"/>
    <row r="69" collapsed="1" customFormat="1" s="20">
      <c r="A69" s="118" t="inlineStr">
        <is>
          <t>x</t>
        </is>
      </c>
      <c r="B69" s="19" t="inlineStr">
        <is>
          <t>End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32"/>
  <sheetViews>
    <sheetView showGridLines="0" workbookViewId="0">
      <selection activeCell="K24" sqref="K24"/>
    </sheetView>
  </sheetViews>
  <sheetFormatPr baseColWidth="8" defaultColWidth="9.125" defaultRowHeight="12"/>
  <cols>
    <col width="1.75" customWidth="1" style="21" min="1" max="1"/>
    <col width="22" bestFit="1" customWidth="1" style="21" min="2" max="2"/>
    <col width="9.125" customWidth="1" style="21" min="3" max="3"/>
    <col width="12.625" bestFit="1" customWidth="1" style="21" min="4" max="4"/>
    <col width="13.25" bestFit="1" customWidth="1" style="21" min="5" max="5"/>
    <col width="12.875" customWidth="1" style="21" min="6" max="7"/>
    <col width="9.125" customWidth="1" style="21" min="8" max="12"/>
    <col width="7.125" bestFit="1" customWidth="1" style="120" min="13" max="13"/>
    <col width="89.125" bestFit="1" customWidth="1" style="21" min="14" max="14"/>
    <col width="9.125" customWidth="1" style="21" min="15" max="15"/>
    <col width="9.125" customWidth="1" style="21" min="16" max="16384"/>
  </cols>
  <sheetData>
    <row r="1" ht="2.1" customFormat="1" customHeight="1" s="19">
      <c r="M1" s="122" t="n"/>
    </row>
    <row r="2" ht="15" customFormat="1" customHeight="1" s="19">
      <c r="B2" s="188" t="inlineStr">
        <is>
          <t>Visante - Public Comparibles</t>
        </is>
      </c>
      <c r="M2" s="122" t="n"/>
    </row>
    <row r="4">
      <c r="B4" s="21" t="inlineStr">
        <is>
          <t>Calculation</t>
        </is>
      </c>
      <c r="C4" s="25" t="inlineStr">
        <is>
          <t>Black</t>
        </is>
      </c>
    </row>
    <row r="5">
      <c r="B5" s="21" t="inlineStr">
        <is>
          <t>Input</t>
        </is>
      </c>
      <c r="C5" s="26" t="inlineStr">
        <is>
          <t>Blue</t>
        </is>
      </c>
    </row>
    <row r="7"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inlineStr">
        <is>
          <t>Valuation Metrics</t>
        </is>
      </c>
      <c r="L7" s="19" t="n"/>
      <c r="M7" s="122" t="n"/>
      <c r="N7" s="19" t="n"/>
    </row>
    <row r="8" customFormat="1" s="119">
      <c r="B8" s="121" t="n"/>
      <c r="C8" s="122" t="inlineStr">
        <is>
          <t>Price (£)</t>
        </is>
      </c>
      <c r="D8" s="122" t="inlineStr">
        <is>
          <t>Shares</t>
        </is>
      </c>
      <c r="E8" s="123" t="inlineStr">
        <is>
          <t>Market</t>
        </is>
      </c>
      <c r="F8" s="123" t="inlineStr">
        <is>
          <t>Total</t>
        </is>
      </c>
      <c r="G8" s="123" t="inlineStr">
        <is>
          <t>Total</t>
        </is>
      </c>
      <c r="H8" s="123" t="inlineStr">
        <is>
          <t xml:space="preserve">Enterprise </t>
        </is>
      </c>
      <c r="I8" s="124" t="inlineStr">
        <is>
          <t>Revenue</t>
        </is>
      </c>
      <c r="J8" s="124" t="inlineStr">
        <is>
          <t>EBITDA</t>
        </is>
      </c>
      <c r="K8" s="124" t="inlineStr">
        <is>
          <t>Revenue</t>
        </is>
      </c>
      <c r="L8" s="124" t="inlineStr">
        <is>
          <t>EBITDA</t>
        </is>
      </c>
      <c r="M8" s="179" t="inlineStr">
        <is>
          <t>Location</t>
        </is>
      </c>
      <c r="N8" s="122" t="inlineStr">
        <is>
          <t>Description</t>
        </is>
      </c>
    </row>
    <row r="9">
      <c r="B9" s="121" t="inlineStr">
        <is>
          <t>Company</t>
        </is>
      </c>
      <c r="C9" s="19" t="n"/>
      <c r="D9" s="19" t="inlineStr">
        <is>
          <t>Oustanding (m)</t>
        </is>
      </c>
      <c r="E9" s="123" t="inlineStr">
        <is>
          <t>Cap (£m)</t>
        </is>
      </c>
      <c r="F9" s="123" t="inlineStr">
        <is>
          <t>Cash</t>
        </is>
      </c>
      <c r="G9" s="123" t="inlineStr">
        <is>
          <t>Debt</t>
        </is>
      </c>
      <c r="H9" s="123" t="inlineStr">
        <is>
          <t>Value</t>
        </is>
      </c>
      <c r="I9" s="123" t="inlineStr">
        <is>
          <t>LYE</t>
        </is>
      </c>
      <c r="J9" s="123" t="inlineStr">
        <is>
          <t>LYE</t>
        </is>
      </c>
      <c r="K9" s="123" t="inlineStr">
        <is>
          <t>LYE</t>
        </is>
      </c>
      <c r="L9" s="123" t="inlineStr">
        <is>
          <t>LYE</t>
        </is>
      </c>
      <c r="M9" s="122" t="n"/>
      <c r="N9" s="19" t="n"/>
    </row>
    <row r="11">
      <c r="B11" s="21" t="inlineStr">
        <is>
          <t>Bytes Technology Group plc</t>
        </is>
      </c>
      <c r="C11" s="313" t="n">
        <v>3.722</v>
      </c>
      <c r="D11" s="314" t="n">
        <v>237.62</v>
      </c>
      <c r="E11" s="315">
        <f>C11*D11</f>
        <v/>
      </c>
      <c r="F11" s="316" t="n">
        <v>113</v>
      </c>
      <c r="G11" s="316" t="n">
        <v>1.94</v>
      </c>
      <c r="H11" s="315">
        <f>E11+G11-F11</f>
        <v/>
      </c>
      <c r="I11" s="316" t="n">
        <v>217</v>
      </c>
      <c r="J11" s="317" t="n">
        <v>68.64</v>
      </c>
      <c r="K11" s="318">
        <f>IFERROR(H11/I11,"Undisclosed")</f>
        <v/>
      </c>
      <c r="L11" s="318">
        <f>IFERROR(H11/J11,"Undisclosed")</f>
        <v/>
      </c>
      <c r="M11" s="120" t="inlineStr">
        <is>
          <t>UK</t>
        </is>
      </c>
      <c r="N11" s="21" t="inlineStr">
        <is>
          <t>IT software and hardware distributor with strong managed services, security, and cloud solutions for business customers.</t>
        </is>
      </c>
    </row>
    <row r="12">
      <c r="B12" s="21" t="inlineStr">
        <is>
          <t>Computacenter plc</t>
        </is>
      </c>
      <c r="C12" s="313" t="n">
        <v>28.46</v>
      </c>
      <c r="D12" s="314" t="n">
        <v>106.24</v>
      </c>
      <c r="E12" s="315">
        <f>C12*D12</f>
        <v/>
      </c>
      <c r="F12" s="316" t="n">
        <v>489.6</v>
      </c>
      <c r="G12" s="316" t="n">
        <v>136.9</v>
      </c>
      <c r="H12" s="315">
        <f>E12+G12-F12</f>
        <v/>
      </c>
      <c r="I12" s="316" t="n">
        <v>6965</v>
      </c>
      <c r="J12" s="317" t="n">
        <v>237</v>
      </c>
      <c r="K12" s="318">
        <f>IFERROR(H12/I12,"Undisclosed")</f>
        <v/>
      </c>
      <c r="L12" s="318">
        <f>IFERROR(H12/J12,"Undisclosed")</f>
        <v/>
      </c>
      <c r="M12" s="120" t="inlineStr">
        <is>
          <t>UK</t>
        </is>
      </c>
      <c r="N12" s="21" t="inlineStr">
        <is>
          <t>Provides IT infrastructure, supply chain management, managed services, and consulting to large organizations.</t>
        </is>
      </c>
    </row>
    <row r="13">
      <c r="B13" s="21" t="inlineStr">
        <is>
          <t>FDM Group (Holdings) plc</t>
        </is>
      </c>
      <c r="C13" s="313" t="n">
        <v>1.2263</v>
      </c>
      <c r="D13" s="314" t="n">
        <v>109.72</v>
      </c>
      <c r="E13" s="315">
        <f>C13*D13</f>
        <v/>
      </c>
      <c r="F13" s="316" t="n">
        <v>41</v>
      </c>
      <c r="G13" s="316" t="n">
        <v>22</v>
      </c>
      <c r="H13" s="315">
        <f>E13+G13-F13</f>
        <v/>
      </c>
      <c r="I13" s="316" t="n">
        <v>258</v>
      </c>
      <c r="J13" s="317" t="n">
        <v>27</v>
      </c>
      <c r="K13" s="318">
        <f>IFERROR(H13/I13,"Undisclosed")</f>
        <v/>
      </c>
      <c r="L13" s="318">
        <f>IFERROR(H13/J13,"Undisclosed")</f>
        <v/>
      </c>
      <c r="M13" s="120" t="inlineStr">
        <is>
          <t>UK</t>
        </is>
      </c>
      <c r="N13" s="21" t="inlineStr">
        <is>
          <t>Graduate recruitment, IT skills training, and staff augmentation—places consultants with clients on long-term contracts.</t>
        </is>
      </c>
    </row>
    <row r="14">
      <c r="B14" s="21" t="inlineStr">
        <is>
          <t>Softcat plc</t>
        </is>
      </c>
      <c r="C14" s="313" t="n">
        <v>15.8</v>
      </c>
      <c r="D14" s="314" t="n">
        <v>199.95</v>
      </c>
      <c r="E14" s="315">
        <f>C14*D14</f>
        <v/>
      </c>
      <c r="F14" s="316" t="n">
        <v>182</v>
      </c>
      <c r="G14" s="316" t="n">
        <v>0</v>
      </c>
      <c r="H14" s="315">
        <f>E14+G14-F14</f>
        <v/>
      </c>
      <c r="I14" s="316" t="n">
        <v>1458</v>
      </c>
      <c r="J14" s="317" t="n">
        <v>173.21</v>
      </c>
      <c r="K14" s="318">
        <f>IFERROR(H14/I14,"Undisclosed")</f>
        <v/>
      </c>
      <c r="L14" s="318">
        <f>IFERROR(H14/J14,"Undisclosed")</f>
        <v/>
      </c>
      <c r="M14" s="120" t="inlineStr">
        <is>
          <t>UK</t>
        </is>
      </c>
      <c r="N14" s="21" t="inlineStr">
        <is>
          <t>IT infrastructure reseller with managed services, security, cloud, and software licensing overlays.</t>
        </is>
      </c>
    </row>
    <row r="15">
      <c r="B15" s="21" t="inlineStr">
        <is>
          <t>TPXimpact Holdings plc</t>
        </is>
      </c>
      <c r="C15" s="313" t="n">
        <v>0.14</v>
      </c>
      <c r="D15" s="314" t="n">
        <v>92.97</v>
      </c>
      <c r="E15" s="315">
        <f>C15*D15</f>
        <v/>
      </c>
      <c r="F15" s="316" t="n">
        <v>4.65</v>
      </c>
      <c r="G15" s="316" t="n">
        <v>14</v>
      </c>
      <c r="H15" s="315">
        <f>E15+G15-F15</f>
        <v/>
      </c>
      <c r="I15" s="316" t="n">
        <v>77</v>
      </c>
      <c r="J15" s="317" t="n">
        <v>-2.36</v>
      </c>
      <c r="K15" s="318">
        <f>IFERROR(H15/I15,"Undisclosed")</f>
        <v/>
      </c>
      <c r="L15" s="318">
        <f>IFERROR(H15/J15,"Undisclosed")</f>
        <v/>
      </c>
      <c r="M15" s="120" t="inlineStr">
        <is>
          <t>UK</t>
        </is>
      </c>
      <c r="N15" s="21" t="inlineStr">
        <is>
          <t>Digital consulting for the UK public sector, focusing on cloud, transformation, and gov.uk project delivery.</t>
        </is>
      </c>
    </row>
    <row r="16">
      <c r="B16" s="21" t="inlineStr">
        <is>
          <t>Kainos Group plc</t>
        </is>
      </c>
      <c r="C16" s="313" t="n">
        <v>9.380000000000001</v>
      </c>
      <c r="D16" s="314" t="n">
        <v>119.23</v>
      </c>
      <c r="E16" s="315">
        <f>C16*D16</f>
        <v/>
      </c>
      <c r="F16" s="316" t="n">
        <v>134</v>
      </c>
      <c r="G16" s="316" t="n">
        <v>5.56</v>
      </c>
      <c r="H16" s="315">
        <f>E16+G16-F16</f>
        <v/>
      </c>
      <c r="I16" s="316" t="n">
        <v>367</v>
      </c>
      <c r="J16" s="317" t="n">
        <v>43</v>
      </c>
      <c r="K16" s="318">
        <f>IFERROR(H16/I16,"Undisclosed")</f>
        <v/>
      </c>
      <c r="L16" s="318">
        <f>IFERROR(H16/J16,"Undisclosed")</f>
        <v/>
      </c>
      <c r="M16" s="120" t="inlineStr">
        <is>
          <t>UK</t>
        </is>
      </c>
      <c r="N16" s="21" t="inlineStr">
        <is>
          <t xml:space="preserve">Kainos Group plc is a United Kingdom-based information technology (IT) provider. The Company operates through three divisions, including Digital Services, Workday Services, and Workday Products. </t>
        </is>
      </c>
    </row>
    <row r="17">
      <c r="B17" s="21" t="inlineStr">
        <is>
          <t>Cerillion plc</t>
        </is>
      </c>
      <c r="C17" s="313" t="n">
        <v>14.03</v>
      </c>
      <c r="D17" s="314" t="n">
        <v>29.5</v>
      </c>
      <c r="E17" s="315">
        <f>C17*D17</f>
        <v/>
      </c>
      <c r="F17" s="316" t="n">
        <v>30</v>
      </c>
      <c r="G17" s="316" t="n">
        <v>2.8</v>
      </c>
      <c r="H17" s="315">
        <f>E17+G17-F17</f>
        <v/>
      </c>
      <c r="I17" s="316" t="n">
        <v>44</v>
      </c>
      <c r="J17" s="317" t="n">
        <v>18</v>
      </c>
      <c r="K17" s="318">
        <f>IFERROR(H17/I17,"Undisclosed")</f>
        <v/>
      </c>
      <c r="L17" s="318">
        <f>IFERROR(H17/J17,"Undisclosed")</f>
        <v/>
      </c>
      <c r="M17" s="120" t="inlineStr">
        <is>
          <t>UK</t>
        </is>
      </c>
      <c r="N17" s="21" t="inlineStr">
        <is>
          <t>Cerillion plc is a United Kingdom-based software solutions provider for billing, charging and customer relationship management (CRM).</t>
        </is>
      </c>
    </row>
    <row r="18">
      <c r="B18" s="21" t="inlineStr">
        <is>
          <t>dotdigital Group plc</t>
        </is>
      </c>
      <c r="C18" s="313" t="n">
        <v>0.7092000000000001</v>
      </c>
      <c r="D18" s="314" t="n">
        <v>307.8</v>
      </c>
      <c r="E18" s="315">
        <f>C18*D18</f>
        <v/>
      </c>
      <c r="F18" s="316" t="n">
        <v>36</v>
      </c>
      <c r="G18" s="316" t="n">
        <v>1.78</v>
      </c>
      <c r="H18" s="315">
        <f>E18+G18-F18</f>
        <v/>
      </c>
      <c r="I18" s="316" t="n">
        <v>79</v>
      </c>
      <c r="J18" s="317" t="n">
        <v>22</v>
      </c>
      <c r="K18" s="318">
        <f>IFERROR(H18/I18,"Undisclosed")</f>
        <v/>
      </c>
      <c r="L18" s="318">
        <f>IFERROR(H18/J18,"Undisclosed")</f>
        <v/>
      </c>
      <c r="M18" s="120" t="inlineStr">
        <is>
          <t>UK</t>
        </is>
      </c>
      <c r="N18" s="21" t="inlineStr">
        <is>
          <t xml:space="preserve">Dotdigital Group plc is a United Kingdom-based software-as-a-service (SaaS) provider of an all-in-one customer experience and data platform (CXDP). </t>
        </is>
      </c>
    </row>
    <row r="19">
      <c r="B19" s="21" t="inlineStr">
        <is>
          <t>Idox plc</t>
        </is>
      </c>
      <c r="C19" s="313" t="n">
        <v>0.7075</v>
      </c>
      <c r="D19" s="314" t="n">
        <v>461.68</v>
      </c>
      <c r="E19" s="315">
        <f>C19*D19</f>
        <v/>
      </c>
      <c r="F19" s="316" t="n">
        <v>12</v>
      </c>
      <c r="G19" s="316" t="n">
        <v>24</v>
      </c>
      <c r="H19" s="315">
        <f>E19+G19-F19</f>
        <v/>
      </c>
      <c r="I19" s="316" t="n">
        <v>88</v>
      </c>
      <c r="J19" s="317" t="n">
        <v>22</v>
      </c>
      <c r="K19" s="318">
        <f>IFERROR(H19/I19,"Undisclosed")</f>
        <v/>
      </c>
      <c r="L19" s="318">
        <f>IFERROR(H19/J19,"Undisclosed")</f>
        <v/>
      </c>
      <c r="M19" s="120" t="inlineStr">
        <is>
          <t>UK</t>
        </is>
      </c>
      <c r="N19" s="21" t="inlineStr">
        <is>
          <t xml:space="preserve">Idox plc is a supplier of specialist information management software and geospatial data solutions to the public and asset-intensive sectors. </t>
        </is>
      </c>
    </row>
    <row r="20">
      <c r="B20" s="21" t="inlineStr">
        <is>
          <t>Gamma Communications plc</t>
        </is>
      </c>
      <c r="C20" s="313" t="n">
        <v>9.66</v>
      </c>
      <c r="D20" s="314" t="n">
        <v>92.17</v>
      </c>
      <c r="E20" s="315">
        <f>C20*D20</f>
        <v/>
      </c>
      <c r="F20" s="316" t="n">
        <v>154</v>
      </c>
      <c r="G20" s="316" t="n">
        <v>7.9</v>
      </c>
      <c r="H20" s="315">
        <f>E20+G20-F20</f>
        <v/>
      </c>
      <c r="I20" s="316" t="n">
        <v>579</v>
      </c>
      <c r="J20" s="317" t="n">
        <v>124</v>
      </c>
      <c r="K20" s="318">
        <f>IFERROR(H20/I20,"Undisclosed")</f>
        <v/>
      </c>
      <c r="L20" s="318">
        <f>IFERROR(H20/J20,"Undisclosed")</f>
        <v/>
      </c>
      <c r="M20" s="120" t="inlineStr">
        <is>
          <t>UK</t>
        </is>
      </c>
      <c r="N20" s="21" t="inlineStr">
        <is>
          <t>A UK-based provider of unified communications as a service (UCaaS), telecom, and connectivity solutions. Serving SMEs, large enterprises, and public sector across Europe, Gamma delivers telephony, mobile, broadband, cloud, and collaboration products over its own network infrastructure</t>
        </is>
      </c>
    </row>
    <row r="21">
      <c r="B21" s="21" t="inlineStr">
        <is>
          <t>Team Internet Group plc</t>
        </is>
      </c>
      <c r="C21" s="313" t="n">
        <v>0.4629</v>
      </c>
      <c r="D21" s="314" t="n">
        <v>246.18</v>
      </c>
      <c r="E21" s="315">
        <f>C21*D21</f>
        <v/>
      </c>
      <c r="F21" s="316" t="n">
        <v>88</v>
      </c>
      <c r="G21" s="316" t="n">
        <v>189</v>
      </c>
      <c r="H21" s="315">
        <f>E21+G21-F21</f>
        <v/>
      </c>
      <c r="I21" s="316" t="n">
        <v>803</v>
      </c>
      <c r="J21" s="317" t="n">
        <v>50.2</v>
      </c>
      <c r="K21" s="318">
        <f>IFERROR(H21/I21,"Undisclosed")</f>
        <v/>
      </c>
      <c r="L21" s="318">
        <f>IFERROR(H21/J21,"Undisclosed")</f>
        <v/>
      </c>
      <c r="M21" s="120" t="inlineStr">
        <is>
          <t>UK</t>
        </is>
      </c>
      <c r="N21" s="21" t="inlineStr">
        <is>
          <t>Formerly CentralNic Group plc, this is a British multinational internet services company. It operates in two main segments: Online Marketing (generating digital advertising and traffic monetization revenue) and Online Presence (providing domain registration, management, and associated services globally).</t>
        </is>
      </c>
    </row>
    <row r="22">
      <c r="B22" s="21" t="inlineStr">
        <is>
          <t>Datrix Group plc</t>
        </is>
      </c>
      <c r="C22" s="313" t="n">
        <v>1.463788</v>
      </c>
      <c r="D22" s="314" t="n">
        <v>9.81</v>
      </c>
      <c r="E22" s="315">
        <f>C22*D22</f>
        <v/>
      </c>
      <c r="F22" s="316" t="n">
        <v>5.572976000000001</v>
      </c>
      <c r="G22" s="316" t="n">
        <v>4.303184</v>
      </c>
      <c r="H22" s="315">
        <f>E22+G22-F22</f>
        <v/>
      </c>
      <c r="I22" s="316" t="n">
        <v>15.8724</v>
      </c>
      <c r="J22" s="317" t="n">
        <v>20.669392</v>
      </c>
      <c r="K22" s="318">
        <f>IFERROR(H22/I22,"Undisclosed")</f>
        <v/>
      </c>
      <c r="L22" s="318">
        <f>IFERROR(H22/J22,"Undisclosed")</f>
        <v/>
      </c>
      <c r="M22" s="120" t="inlineStr">
        <is>
          <t>Italy</t>
        </is>
      </c>
      <c r="N22" s="21" t="inlineStr">
        <is>
          <t xml:space="preserve">Datrix SpA is an Italy-based company that provides augmented analytics software and service solutions based on proprietary artificial intelligence (AI) technologies for marketing, sales, publishing and finance purposes. </t>
        </is>
      </c>
    </row>
    <row r="23">
      <c r="B23" s="21" t="inlineStr">
        <is>
          <t>Sopra Steria Group SA</t>
        </is>
      </c>
      <c r="C23" s="313" t="n">
        <v>131</v>
      </c>
      <c r="D23" s="314" t="n">
        <v>20.55</v>
      </c>
      <c r="E23" s="315">
        <f>C23*D23</f>
        <v/>
      </c>
      <c r="F23" s="316" t="n">
        <v>373.0014</v>
      </c>
      <c r="G23" s="316" t="n">
        <v>1087.2594</v>
      </c>
      <c r="H23" s="315">
        <f>E23+G23-F23</f>
        <v/>
      </c>
      <c r="I23" s="316" t="n">
        <v>5094.1586</v>
      </c>
      <c r="J23" s="317" t="n">
        <v>598.7422</v>
      </c>
      <c r="K23" s="318">
        <f>IFERROR(H23/I23,"Undisclosed")</f>
        <v/>
      </c>
      <c r="L23" s="318">
        <f>IFERROR(H23/J23,"Undisclosed")</f>
        <v/>
      </c>
      <c r="M23" s="120" t="inlineStr">
        <is>
          <t>France</t>
        </is>
      </c>
      <c r="N23" s="21" t="inlineStr">
        <is>
          <t>European IT consulting and digital transformation company serving public sector, finance, defense, and transportation clients.</t>
        </is>
      </c>
    </row>
    <row r="24">
      <c r="B24" s="21" t="inlineStr">
        <is>
          <t>Atos SE</t>
        </is>
      </c>
      <c r="C24" s="313" t="n">
        <v>43.499194</v>
      </c>
      <c r="D24" s="314" t="n">
        <v>19.38</v>
      </c>
      <c r="E24" s="315">
        <f>C24*D24</f>
        <v/>
      </c>
      <c r="F24" s="316" t="n">
        <v>1533.4502</v>
      </c>
      <c r="G24" s="316" t="n">
        <v>2478.7398</v>
      </c>
      <c r="H24" s="315">
        <f>E24+G24-F24</f>
        <v/>
      </c>
      <c r="I24" s="316" t="n">
        <v>8444.998600000001</v>
      </c>
      <c r="J24" s="317" t="n">
        <v>2478.7398</v>
      </c>
      <c r="K24" s="318">
        <f>IFERROR(H24/I24,"Undisclosed")</f>
        <v/>
      </c>
      <c r="L24" s="318">
        <f>IFERROR(H24/J24,"Undisclosed")</f>
        <v/>
      </c>
      <c r="M24" s="120" t="inlineStr">
        <is>
          <t>France</t>
        </is>
      </c>
      <c r="N24" s="21" t="inlineStr">
        <is>
          <t>Multinational IT services and consulting specializing in digital transformation, cloud, cybersecurity, and HPC.</t>
        </is>
      </c>
    </row>
    <row r="25">
      <c r="C25" s="313" t="n"/>
      <c r="D25" s="314" t="n"/>
      <c r="E25" s="315" t="n"/>
      <c r="F25" s="316" t="n"/>
      <c r="G25" s="316" t="n"/>
      <c r="H25" s="315" t="n"/>
      <c r="I25" s="316" t="n"/>
      <c r="J25" s="317" t="n"/>
      <c r="K25" s="318" t="n"/>
      <c r="L25" s="318" t="n"/>
    </row>
    <row r="26">
      <c r="B26" s="99" t="inlineStr">
        <is>
          <t>25th Percentile</t>
        </is>
      </c>
      <c r="C26" s="99" t="n"/>
      <c r="D26" s="99" t="n"/>
      <c r="E26" s="99" t="n"/>
      <c r="F26" s="99" t="n"/>
      <c r="G26" s="99" t="n"/>
      <c r="H26" s="99" t="n"/>
      <c r="I26" s="99" t="n"/>
      <c r="J26" s="99" t="n"/>
      <c r="K26" s="319" t="n"/>
      <c r="L26" s="319">
        <f>PERCENTILE.INC(L11:L24,0.25)</f>
        <v/>
      </c>
    </row>
    <row r="27">
      <c r="B27" s="22" t="inlineStr">
        <is>
          <t>Median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320" t="n"/>
      <c r="L27" s="320">
        <f>MEDIAN(L11:L24)</f>
        <v/>
      </c>
    </row>
    <row r="28">
      <c r="B28" s="82" t="inlineStr">
        <is>
          <t>75th Percentile</t>
        </is>
      </c>
      <c r="C28" s="82" t="n"/>
      <c r="D28" s="82" t="n"/>
      <c r="E28" s="82" t="n"/>
      <c r="F28" s="82" t="n"/>
      <c r="G28" s="82" t="n"/>
      <c r="H28" s="82" t="n"/>
      <c r="I28" s="82" t="n"/>
      <c r="J28" s="82" t="n"/>
      <c r="K28" s="321" t="n"/>
      <c r="L28" s="321">
        <f>PERCENTILE.INC(L11:L24,0.75)</f>
        <v/>
      </c>
    </row>
    <row r="30">
      <c r="B30" s="130" t="inlineStr">
        <is>
          <t>Exchange rate used (Eur/GBP)</t>
        </is>
      </c>
      <c r="C30" s="181" t="n">
        <v>0.8818</v>
      </c>
    </row>
    <row r="31">
      <c r="B31" s="130" t="inlineStr">
        <is>
          <t>Financial Data from Financial Times</t>
        </is>
      </c>
    </row>
    <row r="32">
      <c r="B32" s="130" t="inlineStr">
        <is>
          <t>Cash, debt, revenue and EBITDA based on latest Year-end information available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25"/>
  <sheetViews>
    <sheetView showGridLines="0" workbookViewId="0">
      <selection activeCell="I23" sqref="I23"/>
    </sheetView>
  </sheetViews>
  <sheetFormatPr baseColWidth="8" defaultColWidth="9.125" defaultRowHeight="12"/>
  <cols>
    <col width="1.75" customWidth="1" style="21" min="1" max="1"/>
    <col width="9.125" customWidth="1" style="21" min="2" max="2"/>
    <col width="27.125" bestFit="1" customWidth="1" style="21" min="3" max="3"/>
    <col width="12" bestFit="1" customWidth="1" style="21" min="4" max="4"/>
    <col width="19" bestFit="1" customWidth="1" style="21" min="5" max="5"/>
    <col width="9.375" bestFit="1" customWidth="1" style="21" min="6" max="6"/>
    <col width="8" bestFit="1" customWidth="1" style="21" min="7" max="7"/>
    <col width="9.375" bestFit="1" customWidth="1" style="21" min="8" max="10"/>
    <col width="32.75" bestFit="1" customWidth="1" style="21" min="11" max="11"/>
    <col width="9.125" customWidth="1" style="21" min="12" max="12"/>
    <col width="9.125" customWidth="1" style="21" min="13" max="16384"/>
  </cols>
  <sheetData>
    <row r="1" ht="15" customFormat="1" customHeight="1" s="19">
      <c r="B1" s="188" t="inlineStr">
        <is>
          <t>Visante - Precedent Transactions</t>
        </is>
      </c>
      <c r="M1" s="122" t="n"/>
    </row>
    <row r="2" ht="3.95" customFormat="1" customHeight="1" s="73">
      <c r="B2" s="191" t="n"/>
      <c r="M2" s="192" t="n"/>
    </row>
    <row r="3" ht="36" customFormat="1" customHeight="1" s="100">
      <c r="B3" s="124" t="inlineStr">
        <is>
          <t>Year</t>
        </is>
      </c>
      <c r="C3" s="124" t="inlineStr">
        <is>
          <t>Target Name</t>
        </is>
      </c>
      <c r="D3" s="124" t="inlineStr">
        <is>
          <t>Country</t>
        </is>
      </c>
      <c r="E3" s="124" t="inlineStr">
        <is>
          <t>Acquirer</t>
        </is>
      </c>
      <c r="F3" s="124" t="inlineStr">
        <is>
          <t>Deal Value (£m)</t>
        </is>
      </c>
      <c r="G3" s="124" t="inlineStr">
        <is>
          <t>Target Revenue (£m)</t>
        </is>
      </c>
      <c r="H3" s="124" t="inlineStr">
        <is>
          <t>Target EBITDA (£m)</t>
        </is>
      </c>
      <c r="I3" s="124" t="inlineStr">
        <is>
          <t>EV/Revenue Multiple</t>
        </is>
      </c>
      <c r="J3" s="124" t="inlineStr">
        <is>
          <t>EV/EBITDA Multiple</t>
        </is>
      </c>
      <c r="K3" s="124" t="inlineStr">
        <is>
          <t>Business Focus</t>
        </is>
      </c>
    </row>
    <row r="4">
      <c r="B4" s="21" t="n">
        <v>2025</v>
      </c>
      <c r="C4" s="21" t="inlineStr">
        <is>
          <t>Oakland Group Services</t>
        </is>
      </c>
      <c r="D4" s="21" t="inlineStr">
        <is>
          <t>UK</t>
        </is>
      </c>
      <c r="E4" s="21" t="inlineStr">
        <is>
          <t>Softcat plc</t>
        </is>
      </c>
      <c r="F4" s="21" t="n">
        <v>8</v>
      </c>
      <c r="G4" s="21" t="n">
        <v>10</v>
      </c>
      <c r="H4" s="21" t="n">
        <v>1.8</v>
      </c>
      <c r="I4" s="236">
        <f>IFERROR(F4/G4,"Undisclosed")</f>
        <v/>
      </c>
      <c r="J4" s="236">
        <f>IFERROR(F4/H4,"Undisclosed")</f>
        <v/>
      </c>
      <c r="K4" s="21" t="inlineStr">
        <is>
          <t>Data &amp; AI strategy consulting</t>
        </is>
      </c>
    </row>
    <row r="5">
      <c r="B5" s="21" t="n">
        <v>2025</v>
      </c>
      <c r="C5" s="21" t="inlineStr">
        <is>
          <t>Fox Crypto</t>
        </is>
      </c>
      <c r="D5" s="21" t="inlineStr">
        <is>
          <t>UK</t>
        </is>
      </c>
      <c r="E5" s="21" t="inlineStr">
        <is>
          <t>CR Group Nordic AB</t>
        </is>
      </c>
      <c r="F5" s="21" t="n">
        <v>65.59999999999999</v>
      </c>
      <c r="G5" s="21" t="n">
        <v>23</v>
      </c>
      <c r="H5" s="21" t="n">
        <v>4</v>
      </c>
      <c r="I5" s="236">
        <f>IFERROR(F5/G5,"Undisclosed")</f>
        <v/>
      </c>
      <c r="J5" s="236">
        <f>IFERROR(F5/H5,"Undisclosed")</f>
        <v/>
      </c>
      <c r="K5" s="21" t="inlineStr">
        <is>
          <t>Cryptographic products</t>
        </is>
      </c>
    </row>
    <row r="6">
      <c r="B6" s="21" t="n">
        <v>2020</v>
      </c>
      <c r="C6" s="21" t="inlineStr">
        <is>
          <t>Context Information Security</t>
        </is>
      </c>
      <c r="D6" s="21" t="inlineStr">
        <is>
          <t>UK</t>
        </is>
      </c>
      <c r="E6" s="21" t="inlineStr">
        <is>
          <t>Accenture plc</t>
        </is>
      </c>
      <c r="F6" s="21" t="n">
        <v>107</v>
      </c>
      <c r="G6" s="21" t="n">
        <v>60</v>
      </c>
      <c r="H6" s="21" t="n">
        <v>2</v>
      </c>
      <c r="I6" s="236">
        <f>IFERROR(F6/G6,"Undisclosed")</f>
        <v/>
      </c>
      <c r="J6" s="236">
        <f>IFERROR(F6/H6,"Undisclosed")</f>
        <v/>
      </c>
      <c r="K6" s="21" t="inlineStr">
        <is>
          <t>Cybersecurity consulting</t>
        </is>
      </c>
    </row>
    <row r="7">
      <c r="B7" s="21" t="n">
        <v>2024</v>
      </c>
      <c r="C7" s="21" t="inlineStr">
        <is>
          <t>Elastacloud</t>
        </is>
      </c>
      <c r="D7" s="21" t="inlineStr">
        <is>
          <t>UK</t>
        </is>
      </c>
      <c r="E7" s="21" t="inlineStr">
        <is>
          <t>Acora</t>
        </is>
      </c>
      <c r="F7" s="21" t="inlineStr">
        <is>
          <t>Undisclosed</t>
        </is>
      </c>
      <c r="G7" s="21" t="inlineStr">
        <is>
          <t>Small</t>
        </is>
      </c>
      <c r="H7" s="21" t="inlineStr">
        <is>
          <t>Undisclosed</t>
        </is>
      </c>
      <c r="I7" s="21">
        <f>IFERROR(F7/G7,"Undisclosed")</f>
        <v/>
      </c>
      <c r="J7" s="21">
        <f>IFERROR(F7/H7,"Undisclosed")</f>
        <v/>
      </c>
      <c r="K7" s="21" t="inlineStr">
        <is>
          <t>Data science &amp; AI (Microsoft Azure)</t>
        </is>
      </c>
    </row>
    <row r="8">
      <c r="B8" s="21" t="n">
        <v>2025</v>
      </c>
      <c r="C8" s="21" t="inlineStr">
        <is>
          <t>Risk Crew</t>
        </is>
      </c>
      <c r="D8" s="21" t="inlineStr">
        <is>
          <t>UK</t>
        </is>
      </c>
      <c r="E8" s="21" t="inlineStr">
        <is>
          <t>Red Helix (LDC-backed)</t>
        </is>
      </c>
      <c r="F8" s="21" t="inlineStr">
        <is>
          <t>Undisclosed</t>
        </is>
      </c>
      <c r="G8" s="21" t="inlineStr">
        <is>
          <t>Small</t>
        </is>
      </c>
      <c r="H8" s="21" t="inlineStr">
        <is>
          <t>Undisclosed</t>
        </is>
      </c>
      <c r="I8" s="21">
        <f>IFERROR(F8/G8,"Undisclosed")</f>
        <v/>
      </c>
      <c r="J8" s="21">
        <f>IFERROR(F8/H8,"Undisclosed")</f>
        <v/>
      </c>
      <c r="K8" s="21" t="inlineStr">
        <is>
          <t>GRC &amp; penetration testing</t>
        </is>
      </c>
    </row>
    <row r="9">
      <c r="B9" s="21" t="n">
        <v>2025</v>
      </c>
      <c r="C9" s="21" t="inlineStr">
        <is>
          <t>Solsoft Group</t>
        </is>
      </c>
      <c r="D9" s="21" t="inlineStr">
        <is>
          <t>UK</t>
        </is>
      </c>
      <c r="E9" s="21" t="inlineStr">
        <is>
          <t>Ekco (Ireland MSP)</t>
        </is>
      </c>
      <c r="F9" s="21" t="inlineStr">
        <is>
          <t>Undisclosed</t>
        </is>
      </c>
      <c r="G9" s="21" t="inlineStr">
        <is>
          <t>Small</t>
        </is>
      </c>
      <c r="H9" s="21" t="inlineStr">
        <is>
          <t>Undisclosed</t>
        </is>
      </c>
      <c r="I9" s="21">
        <f>IFERROR(F9/G9,"Undisclosed")</f>
        <v/>
      </c>
      <c r="J9" s="21">
        <f>IFERROR(F9/H9,"Undisclosed")</f>
        <v/>
      </c>
      <c r="K9" s="21" t="inlineStr">
        <is>
          <t>MSP for SMEs</t>
        </is>
      </c>
    </row>
    <row r="10">
      <c r="B10" s="21" t="n">
        <v>2023</v>
      </c>
      <c r="C10" s="21" t="inlineStr">
        <is>
          <t>BJSS</t>
        </is>
      </c>
      <c r="D10" s="21" t="inlineStr">
        <is>
          <t>UK</t>
        </is>
      </c>
      <c r="E10" s="21" t="inlineStr">
        <is>
          <t>CGI Inc</t>
        </is>
      </c>
      <c r="F10" s="21" t="n">
        <v>700</v>
      </c>
      <c r="G10" s="21" t="n">
        <v>301</v>
      </c>
      <c r="H10" s="21" t="n">
        <v>54</v>
      </c>
      <c r="I10" s="236">
        <f>IFERROR(F10/G10,"Undisclosed")</f>
        <v/>
      </c>
      <c r="J10" s="236">
        <f>IFERROR(F10/H10,"Undisclosed")</f>
        <v/>
      </c>
      <c r="K10" s="21" t="inlineStr">
        <is>
          <t>Digital transformation consulting</t>
        </is>
      </c>
    </row>
    <row r="11">
      <c r="B11" s="21" t="n">
        <v>2022</v>
      </c>
      <c r="C11" s="21" t="inlineStr">
        <is>
          <t>Planalyse BV</t>
        </is>
      </c>
      <c r="D11" s="21" t="inlineStr">
        <is>
          <t>Netherlands</t>
        </is>
      </c>
      <c r="E11" s="21" t="inlineStr">
        <is>
          <t>Kainos Group</t>
        </is>
      </c>
      <c r="F11" s="21" t="inlineStr">
        <is>
          <t>Undisclosed</t>
        </is>
      </c>
      <c r="G11" s="21" t="inlineStr">
        <is>
          <t>Small</t>
        </is>
      </c>
      <c r="H11" s="21" t="inlineStr">
        <is>
          <t>Undisclosed</t>
        </is>
      </c>
      <c r="I11" s="21">
        <f>IFERROR(F11/G11,"Undisclosed")</f>
        <v/>
      </c>
      <c r="J11" s="21">
        <f>IFERROR(F11/H11,"Undisclosed")</f>
        <v/>
      </c>
      <c r="K11" s="21" t="inlineStr">
        <is>
          <t>Workday Adaptive Planning</t>
        </is>
      </c>
    </row>
    <row r="12">
      <c r="B12" s="21" t="n">
        <v>2022</v>
      </c>
      <c r="C12" s="21" t="inlineStr">
        <is>
          <t>Blackline Group Inc</t>
        </is>
      </c>
      <c r="D12" s="21" t="inlineStr">
        <is>
          <t>USA</t>
        </is>
      </c>
      <c r="E12" s="21" t="inlineStr">
        <is>
          <t>Kainos Group</t>
        </is>
      </c>
      <c r="F12" s="21" t="inlineStr">
        <is>
          <t>Undisclosed</t>
        </is>
      </c>
      <c r="G12" s="21" t="inlineStr">
        <is>
          <t>Small</t>
        </is>
      </c>
      <c r="H12" s="21" t="inlineStr">
        <is>
          <t>Undisclosed</t>
        </is>
      </c>
      <c r="I12" s="21">
        <f>IFERROR(F12/G12,"Undisclosed")</f>
        <v/>
      </c>
      <c r="J12" s="21">
        <f>IFERROR(F12/H12,"Undisclosed")</f>
        <v/>
      </c>
      <c r="K12" s="21" t="inlineStr">
        <is>
          <t>Workday Strategic Sourcing</t>
        </is>
      </c>
    </row>
    <row r="13">
      <c r="B13" s="21" t="n">
        <v>2025</v>
      </c>
      <c r="C13" s="21" t="inlineStr">
        <is>
          <t>CyberCrowd</t>
        </is>
      </c>
      <c r="D13" s="21" t="inlineStr">
        <is>
          <t>UK</t>
        </is>
      </c>
      <c r="E13" s="21" t="inlineStr">
        <is>
          <t>Limerston Capital (PE)</t>
        </is>
      </c>
      <c r="F13" s="21" t="inlineStr">
        <is>
          <t>Undisclosed</t>
        </is>
      </c>
      <c r="G13" s="21" t="inlineStr">
        <is>
          <t>Small</t>
        </is>
      </c>
      <c r="H13" s="21" t="inlineStr">
        <is>
          <t>Undisclosed</t>
        </is>
      </c>
      <c r="I13" s="21">
        <f>IFERROR(F13/G13,"Undisclosed")</f>
        <v/>
      </c>
      <c r="J13" s="21">
        <f>IFERROR(F13/H13,"Undisclosed")</f>
        <v/>
      </c>
      <c r="K13" s="21" t="inlineStr">
        <is>
          <t>Cybersecurity consultancy</t>
        </is>
      </c>
    </row>
    <row r="14">
      <c r="B14" s="21" t="n">
        <v>2025</v>
      </c>
      <c r="C14" s="21" t="inlineStr">
        <is>
          <t>DigitalXRAID</t>
        </is>
      </c>
      <c r="D14" s="21" t="inlineStr">
        <is>
          <t>UK</t>
        </is>
      </c>
      <c r="E14" s="21" t="inlineStr">
        <is>
          <t>Limerston Capital (PE)</t>
        </is>
      </c>
      <c r="F14" s="21" t="inlineStr">
        <is>
          <t>Undisclosed</t>
        </is>
      </c>
      <c r="G14" s="21" t="inlineStr">
        <is>
          <t>Small</t>
        </is>
      </c>
      <c r="H14" s="21" t="inlineStr">
        <is>
          <t>Undisclosed</t>
        </is>
      </c>
      <c r="I14" s="21">
        <f>IFERROR(F14/G14,"Undisclosed")</f>
        <v/>
      </c>
      <c r="J14" s="21">
        <f>IFERROR(F14/H14,"Undisclosed")</f>
        <v/>
      </c>
      <c r="K14" s="21" t="inlineStr">
        <is>
          <t>Managed security (MSSP)</t>
        </is>
      </c>
    </row>
    <row r="15">
      <c r="B15" s="21" t="n">
        <v>2025</v>
      </c>
      <c r="C15" s="21" t="inlineStr">
        <is>
          <t>40fi</t>
        </is>
      </c>
      <c r="D15" s="21" t="inlineStr">
        <is>
          <t>UK</t>
        </is>
      </c>
      <c r="E15" s="21" t="inlineStr">
        <is>
          <t>Vorboss</t>
        </is>
      </c>
      <c r="F15" s="21" t="inlineStr">
        <is>
          <t>Undisclosed</t>
        </is>
      </c>
      <c r="G15" s="21" t="inlineStr">
        <is>
          <t>Small-mid</t>
        </is>
      </c>
      <c r="H15" s="21" t="inlineStr">
        <is>
          <t>Undisclosed</t>
        </is>
      </c>
      <c r="I15" s="21">
        <f>IFERROR(F15/G15,"Undisclosed")</f>
        <v/>
      </c>
      <c r="J15" s="21">
        <f>IFERROR(F15/H15,"Undisclosed")</f>
        <v/>
      </c>
      <c r="K15" s="21" t="inlineStr">
        <is>
          <t>Managed cybersecurity</t>
        </is>
      </c>
    </row>
    <row r="16">
      <c r="B16" s="21" t="n">
        <v>2025</v>
      </c>
      <c r="C16" s="21" t="inlineStr">
        <is>
          <t>Armadillo Managed Services</t>
        </is>
      </c>
      <c r="D16" s="21" t="inlineStr">
        <is>
          <t>UK</t>
        </is>
      </c>
      <c r="E16" s="21" t="inlineStr">
        <is>
          <t>Transputec</t>
        </is>
      </c>
      <c r="F16" s="21" t="inlineStr">
        <is>
          <t>Undisclosed</t>
        </is>
      </c>
      <c r="G16" s="21" t="inlineStr">
        <is>
          <t>Small-mid</t>
        </is>
      </c>
      <c r="H16" s="21" t="inlineStr">
        <is>
          <t>Undisclosed</t>
        </is>
      </c>
      <c r="I16" s="21">
        <f>IFERROR(F16/G16,"Undisclosed")</f>
        <v/>
      </c>
      <c r="J16" s="21">
        <f>IFERROR(F16/H16,"Undisclosed")</f>
        <v/>
      </c>
      <c r="K16" s="21" t="inlineStr">
        <is>
          <t>Cyber resilience &amp; infrastructure</t>
        </is>
      </c>
    </row>
    <row r="17">
      <c r="B17" s="21" t="n">
        <v>2024</v>
      </c>
      <c r="C17" s="21" t="inlineStr">
        <is>
          <t>Technique Ltd</t>
        </is>
      </c>
      <c r="D17" s="21" t="inlineStr">
        <is>
          <t>UK</t>
        </is>
      </c>
      <c r="E17" s="21" t="inlineStr">
        <is>
          <t>Pixel Holdco (Chiltern PE)</t>
        </is>
      </c>
      <c r="F17" s="21" t="inlineStr">
        <is>
          <t>Undisclosed</t>
        </is>
      </c>
      <c r="G17" s="21" t="inlineStr">
        <is>
          <t>Small-mid</t>
        </is>
      </c>
      <c r="H17" s="21" t="inlineStr">
        <is>
          <t>Undisclosed</t>
        </is>
      </c>
      <c r="I17" s="21">
        <f>IFERROR(F17/G17,"Undisclosed")</f>
        <v/>
      </c>
      <c r="J17" s="21">
        <f>IFERROR(F17/H17,"Undisclosed")</f>
        <v/>
      </c>
      <c r="K17" s="21" t="inlineStr">
        <is>
          <t>IT managed services</t>
        </is>
      </c>
    </row>
    <row r="18">
      <c r="B18" s="21" t="n">
        <v>2024</v>
      </c>
      <c r="C18" s="21" t="inlineStr">
        <is>
          <t>Elastacloud</t>
        </is>
      </c>
      <c r="D18" s="21" t="inlineStr">
        <is>
          <t>UK</t>
        </is>
      </c>
      <c r="E18" s="21" t="inlineStr">
        <is>
          <t>Acora</t>
        </is>
      </c>
      <c r="F18" s="21" t="inlineStr">
        <is>
          <t>Undisclosed</t>
        </is>
      </c>
      <c r="G18" s="21" t="inlineStr">
        <is>
          <t>Small-mid</t>
        </is>
      </c>
      <c r="H18" s="21" t="inlineStr">
        <is>
          <t>Undisclosed</t>
        </is>
      </c>
      <c r="I18" s="21">
        <f>IFERROR(F18/G18,"Undisclosed")</f>
        <v/>
      </c>
      <c r="J18" s="21">
        <f>IFERROR(F18/H18,"Undisclosed")</f>
        <v/>
      </c>
      <c r="K18" s="21" t="inlineStr">
        <is>
          <t>Data &amp; AI for enterprises</t>
        </is>
      </c>
    </row>
    <row r="19">
      <c r="B19" s="21" t="n">
        <v>2024</v>
      </c>
      <c r="C19" s="21" t="inlineStr">
        <is>
          <t>Engine B</t>
        </is>
      </c>
      <c r="D19" s="21" t="inlineStr">
        <is>
          <t>UK</t>
        </is>
      </c>
      <c r="E19" s="21" t="inlineStr">
        <is>
          <t>CLA UK</t>
        </is>
      </c>
      <c r="F19" s="21" t="inlineStr">
        <is>
          <t>Undisclosed</t>
        </is>
      </c>
      <c r="G19" s="21" t="inlineStr">
        <is>
          <t>Small</t>
        </is>
      </c>
      <c r="H19" s="21" t="inlineStr">
        <is>
          <t>Undisclosed</t>
        </is>
      </c>
      <c r="I19" s="21">
        <f>IFERROR(F19/G19,"Undisclosed")</f>
        <v/>
      </c>
      <c r="J19" s="21">
        <f>IFERROR(F19/H19,"Undisclosed")</f>
        <v/>
      </c>
      <c r="K19" s="21" t="inlineStr">
        <is>
          <t>Generative AI solutions</t>
        </is>
      </c>
    </row>
    <row r="20">
      <c r="B20" s="21" t="n">
        <v>2024</v>
      </c>
      <c r="C20" s="21" t="inlineStr">
        <is>
          <t>3DOT Solutions</t>
        </is>
      </c>
      <c r="D20" s="21" t="inlineStr">
        <is>
          <t>UK</t>
        </is>
      </c>
      <c r="E20" s="21" t="inlineStr">
        <is>
          <t>Nortal</t>
        </is>
      </c>
      <c r="F20" s="21" t="inlineStr">
        <is>
          <t>Undisclosed</t>
        </is>
      </c>
      <c r="G20" s="21" t="inlineStr">
        <is>
          <t>Small</t>
        </is>
      </c>
      <c r="H20" s="21" t="inlineStr">
        <is>
          <t>Undisclosed</t>
        </is>
      </c>
      <c r="I20" s="21">
        <f>IFERROR(F20/G20,"Undisclosed")</f>
        <v/>
      </c>
      <c r="J20" s="21">
        <f>IFERROR(F20/H20,"Undisclosed")</f>
        <v/>
      </c>
      <c r="K20" s="21" t="inlineStr">
        <is>
          <t>UK Armed Forces cyber</t>
        </is>
      </c>
    </row>
    <row r="21">
      <c r="B21" s="21" t="n">
        <v>2024</v>
      </c>
      <c r="C21" s="21" t="inlineStr">
        <is>
          <t>Cyphra</t>
        </is>
      </c>
      <c r="D21" s="21" t="inlineStr">
        <is>
          <t>UK</t>
        </is>
      </c>
      <c r="E21" s="21" t="inlineStr">
        <is>
          <t>Pixel Holdco (Chiltern PE)</t>
        </is>
      </c>
      <c r="F21" s="21" t="inlineStr">
        <is>
          <t>Undisclosed</t>
        </is>
      </c>
      <c r="G21" s="21" t="inlineStr">
        <is>
          <t>Small</t>
        </is>
      </c>
      <c r="H21" s="21" t="inlineStr">
        <is>
          <t>Undisclosed</t>
        </is>
      </c>
      <c r="I21" s="21" t="n"/>
      <c r="J21" s="21" t="n"/>
      <c r="K21" s="21" t="inlineStr">
        <is>
          <t>Cybersecurity specialist</t>
        </is>
      </c>
    </row>
    <row r="23" ht="14.25" customHeight="1">
      <c r="B23" s="99" t="inlineStr">
        <is>
          <t>25th Percentile</t>
        </is>
      </c>
      <c r="C23" s="99" t="n"/>
      <c r="D23" s="99" t="n"/>
      <c r="E23" s="99" t="n"/>
      <c r="F23" s="99" t="n"/>
      <c r="G23" s="99" t="n"/>
      <c r="H23" s="99" t="n"/>
      <c r="I23" s="319" t="n"/>
      <c r="J23" s="319">
        <f>QUARTILE.INC(J4:J20,1)</f>
        <v/>
      </c>
    </row>
    <row r="24" ht="14.25" customHeight="1">
      <c r="B24" s="22" t="inlineStr">
        <is>
          <t>Median</t>
        </is>
      </c>
      <c r="C24" s="22" t="n"/>
      <c r="D24" s="22" t="n"/>
      <c r="E24" s="22" t="n"/>
      <c r="F24" s="22" t="n"/>
      <c r="G24" s="22" t="n"/>
      <c r="H24" s="22" t="n"/>
      <c r="I24" s="320" t="n"/>
      <c r="J24" s="320" t="n"/>
    </row>
    <row r="25" ht="14.25" customHeight="1">
      <c r="B25" s="82" t="inlineStr">
        <is>
          <t>75th Percentile</t>
        </is>
      </c>
      <c r="C25" s="82" t="n"/>
      <c r="D25" s="82" t="n"/>
      <c r="E25" s="82" t="n"/>
      <c r="F25" s="82" t="n"/>
      <c r="G25" s="82" t="n"/>
      <c r="H25" s="82" t="n"/>
      <c r="I25" s="321" t="n"/>
      <c r="J25" s="32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2026-01-31T03:30:53Z</dcterms:created>
  <dcterms:modified xmlns:dcterms="http://purl.org/dc/terms/" xmlns:xsi="http://www.w3.org/2001/XMLSchema-instance" xsi:type="dcterms:W3CDTF">2026-05-05T06:20:11Z</dcterms:modified>
  <cp:lastModifiedBy>User</cp:lastModifiedBy>
</cp:coreProperties>
</file>